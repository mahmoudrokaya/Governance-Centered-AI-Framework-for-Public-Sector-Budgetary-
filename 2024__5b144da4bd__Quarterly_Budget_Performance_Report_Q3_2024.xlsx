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xr:revisionPtr revIDLastSave="0" documentId="13_ncr:1_{7292513B-C971-49AC-84C3-D5F15A1F6E26}" xr6:coauthVersionLast="47" xr6:coauthVersionMax="47" xr10:uidLastSave="{00000000-0000-0000-0000-000000000000}"/>
  <bookViews>
    <workbookView xWindow="28680" yWindow="-120" windowWidth="29040" windowHeight="17640" xr2:uid="{00000000-000D-0000-FFFF-FFFF00000000}"/>
  </bookViews>
  <sheets>
    <sheet name="T.CONTENT" sheetId="7" r:id="rId1"/>
    <sheet name="INTRODUCTION" sheetId="14" state="hidden" r:id="rId2"/>
    <sheet name="GOV.BUD" sheetId="2" r:id="rId3"/>
    <sheet name="Summary" sheetId="21" r:id="rId4"/>
    <sheet name="Revenues" sheetId="17" r:id="rId5"/>
    <sheet name="Expenditures" sheetId="24" r:id="rId6"/>
    <sheet name="Deficit" sheetId="22" r:id="rId7"/>
    <sheet name="Gov.Reserve" sheetId="15" r:id="rId8"/>
    <sheet name="Debt" sheetId="23" r:id="rId9"/>
    <sheet name="Appendix" sheetId="13"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24" l="1"/>
  <c r="B15" i="24" s="1"/>
  <c r="B8" i="24"/>
  <c r="B9" i="24"/>
  <c r="B10" i="24"/>
  <c r="B11" i="24"/>
  <c r="B12" i="24"/>
  <c r="B13" i="24"/>
  <c r="B14" i="24"/>
  <c r="C15" i="24"/>
  <c r="D15" i="24"/>
  <c r="E15" i="24"/>
  <c r="B23" i="24"/>
  <c r="B24" i="24"/>
  <c r="B25" i="24"/>
  <c r="B26" i="24"/>
  <c r="B27" i="24"/>
  <c r="B28" i="24"/>
  <c r="B29" i="24"/>
  <c r="B30" i="24"/>
  <c r="D31" i="24"/>
  <c r="B31" i="24" s="1"/>
  <c r="B39" i="24"/>
  <c r="B40" i="24"/>
  <c r="B41" i="24"/>
  <c r="B42" i="24"/>
  <c r="B43" i="24"/>
  <c r="B44" i="24"/>
  <c r="B45" i="24"/>
  <c r="B46" i="24"/>
  <c r="C47" i="24"/>
  <c r="B47" i="24" s="1"/>
  <c r="D47" i="24"/>
  <c r="D55" i="24"/>
  <c r="F55" i="24"/>
  <c r="D56" i="24"/>
  <c r="F56" i="24"/>
  <c r="D57" i="24"/>
  <c r="F57" i="24"/>
  <c r="D58" i="24"/>
  <c r="F58" i="24"/>
  <c r="D59" i="24"/>
  <c r="F59" i="24"/>
  <c r="D60" i="24"/>
  <c r="F60" i="24"/>
  <c r="D61" i="24"/>
  <c r="F61" i="24"/>
  <c r="D62" i="24"/>
  <c r="F62" i="24"/>
  <c r="D63" i="24"/>
  <c r="F63" i="24"/>
  <c r="B64" i="24"/>
  <c r="C64" i="24"/>
  <c r="D64" i="24"/>
  <c r="E64" i="24"/>
  <c r="F64" i="24"/>
  <c r="C22" i="17" l="1"/>
  <c r="C23" i="17"/>
  <c r="C24" i="17"/>
  <c r="C25" i="17"/>
  <c r="C26" i="17"/>
  <c r="C27" i="17"/>
  <c r="C28" i="17"/>
  <c r="C29" i="17"/>
  <c r="B9" i="2" l="1"/>
  <c r="C9" i="2"/>
  <c r="D9" i="2"/>
</calcChain>
</file>

<file path=xl/sharedStrings.xml><?xml version="1.0" encoding="utf-8"?>
<sst xmlns="http://schemas.openxmlformats.org/spreadsheetml/2006/main" count="404" uniqueCount="238">
  <si>
    <t>البيان</t>
  </si>
  <si>
    <t>إجمالي الإيرادات</t>
  </si>
  <si>
    <t>إجمالي المصروفات</t>
  </si>
  <si>
    <t>Total Revenues</t>
  </si>
  <si>
    <t>Total Expenditures</t>
  </si>
  <si>
    <t>Items</t>
  </si>
  <si>
    <t xml:space="preserve"> (SAR Million)</t>
  </si>
  <si>
    <t>الإيرادات</t>
  </si>
  <si>
    <t>Revenues*</t>
  </si>
  <si>
    <t>* Definitions are provided in the Annex at the end of the report</t>
  </si>
  <si>
    <t>المصروفات</t>
  </si>
  <si>
    <t>Expenditures*</t>
  </si>
  <si>
    <t>Compensation of Employees</t>
  </si>
  <si>
    <t>Use of Goods and Services</t>
  </si>
  <si>
    <t>Financing Expenses</t>
  </si>
  <si>
    <t>Subsidies</t>
  </si>
  <si>
    <t xml:space="preserve"> Grants</t>
  </si>
  <si>
    <t>Social Benefits</t>
  </si>
  <si>
    <t>Other Expenses</t>
  </si>
  <si>
    <t>Total</t>
  </si>
  <si>
    <t>* تعريف البنود في الملحق المرفق بنهاية التقرير</t>
  </si>
  <si>
    <t>الإيرادات النفطية</t>
  </si>
  <si>
    <t>الإيرادات الأخرى</t>
  </si>
  <si>
    <t>الإيرادات غير النفطية</t>
  </si>
  <si>
    <t>الإجمالـــــــــــي</t>
  </si>
  <si>
    <t>Oil Revenues</t>
  </si>
  <si>
    <t>Other Revenues</t>
  </si>
  <si>
    <t>Non-oil Revenues</t>
  </si>
  <si>
    <t xml:space="preserve">Total </t>
  </si>
  <si>
    <t xml:space="preserve"> تعويضات العاملين</t>
  </si>
  <si>
    <t xml:space="preserve">استخدام السلع والخدمات </t>
  </si>
  <si>
    <t>نفقات التمويل</t>
  </si>
  <si>
    <t>الإعانات</t>
  </si>
  <si>
    <t>المنح</t>
  </si>
  <si>
    <t>المنافع الاجتماعية</t>
  </si>
  <si>
    <t>مصروفات أخرى</t>
  </si>
  <si>
    <r>
      <t xml:space="preserve">الأصول غير المالية </t>
    </r>
    <r>
      <rPr>
        <sz val="10"/>
        <color rgb="FFA39D87"/>
        <rFont val="DIN Next LT Arabic"/>
        <family val="2"/>
      </rPr>
      <t>(رأسمالي)</t>
    </r>
  </si>
  <si>
    <t>اسم القطاع</t>
  </si>
  <si>
    <t>المصروفات*</t>
  </si>
  <si>
    <t>الإيرادات*</t>
  </si>
  <si>
    <t>(مليون ريال)</t>
  </si>
  <si>
    <t>Revenues</t>
  </si>
  <si>
    <t>Expenditures</t>
  </si>
  <si>
    <t>اعتماد الميزانية للقطاعات والمنصرف الفعلي</t>
  </si>
  <si>
    <t>Sector</t>
  </si>
  <si>
    <t>Public Administration</t>
  </si>
  <si>
    <t xml:space="preserve">Military </t>
  </si>
  <si>
    <t>Security and Regional Administration</t>
  </si>
  <si>
    <t>Municipal Services</t>
  </si>
  <si>
    <t>Education</t>
  </si>
  <si>
    <t>Health &amp; Social Development</t>
  </si>
  <si>
    <t>Economic Resources</t>
  </si>
  <si>
    <t>Infrastructure and Transportation</t>
  </si>
  <si>
    <t>General Items</t>
  </si>
  <si>
    <t>الإدارة العامة</t>
  </si>
  <si>
    <t>العسكري</t>
  </si>
  <si>
    <t>الأمن والمناطق الإدارية</t>
  </si>
  <si>
    <t>الخدمات البلدية</t>
  </si>
  <si>
    <t>التعليم</t>
  </si>
  <si>
    <t>الصحة والتنمية الاجتماعية</t>
  </si>
  <si>
    <t>الموارد الاقتصادية</t>
  </si>
  <si>
    <t>البنود العامة</t>
  </si>
  <si>
    <t>التجهيزات الأساسية والنقل</t>
  </si>
  <si>
    <t>Item</t>
  </si>
  <si>
    <t>التمويل</t>
  </si>
  <si>
    <t>الدين العام</t>
  </si>
  <si>
    <t>Public Debt</t>
  </si>
  <si>
    <t>End of Period Balance</t>
  </si>
  <si>
    <t>العنوان</t>
  </si>
  <si>
    <t>Subject</t>
  </si>
  <si>
    <t>الإجمالي</t>
  </si>
  <si>
    <t>الضرائب على الدخل والأرباح والمكاسب الرأسمالية</t>
  </si>
  <si>
    <t>الضرائب على السلع والخدمات</t>
  </si>
  <si>
    <t>الضرائب على التجارة والمعاملات الدولية</t>
  </si>
  <si>
    <t xml:space="preserve">ضرائب أخرى </t>
  </si>
  <si>
    <t>الملخص التنفيذي</t>
  </si>
  <si>
    <t>Q1</t>
  </si>
  <si>
    <t xml:space="preserve"> استخدام السلع والخدمات</t>
  </si>
  <si>
    <t xml:space="preserve"> نفقات التمويل</t>
  </si>
  <si>
    <t xml:space="preserve"> الإعانات</t>
  </si>
  <si>
    <t xml:space="preserve"> المنح</t>
  </si>
  <si>
    <t xml:space="preserve"> المنافع الاجتماعية</t>
  </si>
  <si>
    <t xml:space="preserve"> مصروفات أخرى</t>
  </si>
  <si>
    <r>
      <t xml:space="preserve"> الأصول غير المالية </t>
    </r>
    <r>
      <rPr>
        <sz val="12"/>
        <color rgb="FFA39D87"/>
        <rFont val="DIN Next LT Arabic"/>
        <family val="2"/>
      </rPr>
      <t>(رأسمالي)</t>
    </r>
  </si>
  <si>
    <t>نسبة المنصرف من إجمالي المعتمد</t>
  </si>
  <si>
    <t>Change  %</t>
  </si>
  <si>
    <t>As % of total budget</t>
  </si>
  <si>
    <t>مقارنة بالفترة المماثلة من العام السابق</t>
  </si>
  <si>
    <t xml:space="preserve"> مقارنة بالفترة المماثلة من العام السابق</t>
  </si>
  <si>
    <t>%</t>
  </si>
  <si>
    <t xml:space="preserve">Change </t>
  </si>
  <si>
    <t>Change</t>
  </si>
  <si>
    <r>
      <t xml:space="preserve">Non-financial Assets </t>
    </r>
    <r>
      <rPr>
        <sz val="12"/>
        <color rgb="FFA39D87"/>
        <rFont val="DIN Next LT Arabic"/>
        <family val="2"/>
      </rPr>
      <t>(CAPEX)</t>
    </r>
  </si>
  <si>
    <t xml:space="preserve">الضرائب على الدخل والأرباح والمكاسب الرأسمالية </t>
  </si>
  <si>
    <t xml:space="preserve">Appendix on the Definition </t>
  </si>
  <si>
    <t>ملحق تعريف البنود</t>
  </si>
  <si>
    <t>البند</t>
  </si>
  <si>
    <t>مكوناته</t>
  </si>
  <si>
    <t>ضريبة دخل الشركات و المنشآت وضريبة الاستقطاع لغير المقيمين.</t>
  </si>
  <si>
    <t>ضرائب على التجارة والمعاملات (رسوم جمركية)</t>
  </si>
  <si>
    <t>هي رسوم على السلع لأنها تدخل البلد المعني أو على خدمات، لأنها مقدمة من غير مقيمين إلى مقيمين. وقد تفرض هذه الرسوم لأغراض جباية الإيرادات أو لأغراض الحماية، وقد تحدد على أساس معين أو حسب القيمة.</t>
  </si>
  <si>
    <t>ضرائب أخرى</t>
  </si>
  <si>
    <t xml:space="preserve">الضرائب الأخرى المدفوعة من شركات الأعمال فقط (زكاة الشركات والمنشآت) والضرائب غير المصنفة. </t>
  </si>
  <si>
    <t xml:space="preserve">العوائد المتحققة من وحدات  الحكومة العامة الأخرى (منها البنك المركزي السعودي) ومبيعات من قبل منشآت سوقية (الدخل من الإعلانات ورسوم وأجور خدمات الموانئ) والرسوم الإدارية والغرامات والجزاءات والمصادرات. </t>
  </si>
  <si>
    <t xml:space="preserve">تعويضات العاملين </t>
  </si>
  <si>
    <t>هي المكافآت، النقدية أو العينية، المستحقة الدفع للمستخدم مقابل عمل أداه. وإضافة إلى الأجور والرواتب، وتشمل على مساهمات الـتأمينات الاجتماعية، التي تدفعها وحدة من وحدات الحكومة العامة إنابةً عن العاملين بها وتستبعد منها أية تعويضات للعاملين تتعلق بتكوين رأس المال للحساب الذاتي.</t>
  </si>
  <si>
    <t>هي القيمة الكلية لسلع وخدمات اشتراها قطاع الحكومة العامة للاستخدام في العملية الإنتاجية أو اقتناها لإعادة بيعها مطروحاً منها صافي التغيير في المخزونات من تلك السلع والخدمات.</t>
  </si>
  <si>
    <t>هي المبالغ التي يتوجب على الحكومة دفعها للدائن مقابل أصل الدين القائم كسندات الخزانة، والصكوك الحكومية، والقروض، والحسابات المدينة.</t>
  </si>
  <si>
    <t>هي تحويلات جارية تدفعها وحدات حكومية إلى مشروعات إما على أساس أنشطتها الإنتاجية أو على أساس كميات أو قيم السلع أو الخدمات، التي تقوم تلك المشروعات ببيعها أو إنتاجها أو استيرادها. وتدرج ضمنها التحويلات الى الشركات العامة وغيرها.</t>
  </si>
  <si>
    <t>هي تحويلات غير إجبارية نقداً أو عيناً تدفع  لوحدة أخرى من وحدات الحكومة العامة أو من منظمات دولية.</t>
  </si>
  <si>
    <t>هي تحويلات جارية إلى الأسر لتلبية الاحتياجات الناشئة عن أحداث مثل المرض أو البطالة أو التقاعد أو الإسكان أو ظروف أسرية، وقد تؤدى تلك المنافع نقدياً أو عينياً.</t>
  </si>
  <si>
    <t>تشمل جميع المصروفات غير المصنفة في مكان آخر مثل (المصروفات على الممتلكات بخلاف الفائدة-الضرائب-الغرامات- الجزاءات المفروضة من حكومة على أخرى-التحويلات الجارية إلى المؤسسات غير الهادفة للربح التي تخدم الأسر-التحويلات الرأسمالية بخلاف المنح الرأسمالية-أقساط ومطالبات التأمين على غير الحياة).</t>
  </si>
  <si>
    <t>الأصول غير المالية (رأسمالي)</t>
  </si>
  <si>
    <t>هي جميع الأصول الاقتصادية عدا الأصول المالية، وهي ضمناً لا تمثل مطالبات على وحدات أخرى، وهي مستودعات للقيمة شأنها في ذلك شأن الأصول المالية. توفر معظم الأصول غير المالية منافع إما من خلال استخدامها في إنتاج سلع وخدمات أو في شكل دخل ممتلكات.</t>
  </si>
  <si>
    <t xml:space="preserve">ملحق تعريف بنود الإيرادات والمصروفات </t>
  </si>
  <si>
    <t>حسب دليل إحصاءات مالية الحكومة (GFSM 2014)</t>
  </si>
  <si>
    <t>Definition</t>
  </si>
  <si>
    <t>Consists of taxes assessed on the actual or presumed incomes of institutional units.</t>
  </si>
  <si>
    <t>Taxes on Income, Profits, and capital Gains</t>
  </si>
  <si>
    <t>Taxes on Goods and Services</t>
  </si>
  <si>
    <t>Taxes that are payable when goods or services cross the national or customs frontiers of the economic territory, provided from nonresidents to residents. These fees might be imposed for revenue collection or protection purposes and may be determined on a certain criteria or by value.</t>
  </si>
  <si>
    <t>Taxes on International Trade and Transactions (Customs)</t>
  </si>
  <si>
    <t>Other taxes paid by businesses only (corporate Zakat) and unidentified taxes.</t>
  </si>
  <si>
    <t>Other Taxes</t>
  </si>
  <si>
    <t>Revenues from other public government unites (including Saudi Arabian Monetary Agency) and sales performed by other entities (income from advertising and fees from port services), administrative fees, fines, penalties and confiscations.</t>
  </si>
  <si>
    <t>Social benefits is the remuneration, in cash or in kind payable in return for work performed by an employee including social security contributions that are payable by the government unit on on behalf of its employees –excluding any compensation for employees related to the formation of capital for personal accounts.</t>
  </si>
  <si>
    <t>Total value of goods and services purchased by the general government sector to be used in production or for resale, minus the net change in inventories of those goods and services.</t>
  </si>
  <si>
    <t>The amount that the government shall pay to the creditor against the principal of the outstanding debt such as treasury bonds, Sukuk, loans and receivables.</t>
  </si>
  <si>
    <t>Current transfers paid by government units to projects either in return of their production activates or on the basis of quantities or values of the goods or services they produce, sell, or import, including transfers to public companies.</t>
  </si>
  <si>
    <t>Non-mandatory transfers in cash or goods payable to other government units or international organizations.</t>
  </si>
  <si>
    <t>Grants</t>
  </si>
  <si>
    <t>Current transfers receivable by households intended to provide for the needs that arise from events such as sickness, unemployment, retirement, housing or family conditions. They could be in cash or in kind.</t>
  </si>
  <si>
    <t>All expenses not classified elsewhere including, expenditure on property other than interest, taxes, fines, sanctions imposed by government, current transfers to non-profit institutions, capital transfers other than capital grants, and non-life insurance premiums and claims.</t>
  </si>
  <si>
    <t>All economic assets other than financial assets, which implicitly do not represent claims on other units. Most non- financial assets provide benefits either through their use in the production of goods and services or in the form of property income.</t>
  </si>
  <si>
    <t>Non-Financial Assets (CAPEX)</t>
  </si>
  <si>
    <t xml:space="preserve">الميزانية العامة للدولة 
</t>
  </si>
  <si>
    <t>Taxes on Income, Profit and Capital Gains</t>
  </si>
  <si>
    <t>Taxes on International Trade and Transactions</t>
  </si>
  <si>
    <t>ضرائب السلع أو مزاولة أنشطة معينة (ضريبة القيمة المضافة والضريبة الانتقائية والمقابل المالي على الوافدين).</t>
  </si>
  <si>
    <t>taxes on the production, activities (Excise Tax, VAT and Expat Levy).</t>
  </si>
  <si>
    <t>مقدمة</t>
  </si>
  <si>
    <t>INTRODUCTION</t>
  </si>
  <si>
    <t>(الفائض/ (العجز</t>
  </si>
  <si>
    <t xml:space="preserve">This quarterly report is published by the Ministry of Finance (MoF) to provide detailed fiscal data covering performance during the specified quarter including revenues, expenditures, it’s funding sources and the change in public debt. Through the periodical publication of this report, budget deficit, MoF seeks to enhance transparency in accordance with financial disclosure standards. 
It should be noted that fiscal accounts as presented in this report are based on cash basis of accounting and are classified according to the Government Finance Statistics Manual (GFSM 2014), published by the International Monetary Fund (IMF). A glossary section is provided at the end of this report. </t>
  </si>
  <si>
    <r>
      <t xml:space="preserve">تم إعداد هذا التقرير الربع سنوي من قبل وزارة المالية، ويحتوي على بيانات تفصيلية لحركة الإيرادات والمصروفات خلال الربع المحدد بالتقرير، إضافة إلى الفائض (أو العجز) المحقق وآلية تمويله والدين العام. وتسعى وزارة </t>
    </r>
    <r>
      <rPr>
        <sz val="10"/>
        <color theme="1" tint="0.34998626667073579"/>
        <rFont val="DIN Next LT Arabic"/>
        <family val="2"/>
      </rPr>
      <t>المالية من خلال نشر هذا التقرير - بشكل دوري - إلى إعطاء مزيد من الشفافية حول أداء المالية العامة وفق معايير الإفصاح المالي. كما تجدر الإشارة إلى أن إعداد الميزانية العامة للدولة يتم على الأساس المحاسبي النقدي، مع العلم أن البيانات المالية الواردة في التقرير مبوبة حسب دليل إحصاءات مالية الحكومة (GFSM 2014)،</t>
    </r>
    <r>
      <rPr>
        <sz val="10"/>
        <color rgb="FF575757"/>
        <rFont val="DIN Next LT Arabic"/>
        <family val="2"/>
      </rPr>
      <t xml:space="preserve"> الذي يُصدره صندوق النقد الدولي كتصنيف عالمي موحد. كما يتضمن التقرير قائمة بالمصطلحات وشروحاتها.</t>
    </r>
  </si>
  <si>
    <t>Surplus/(Deficit)</t>
  </si>
  <si>
    <t xml:space="preserve">The Definition of revenues and Expenses </t>
  </si>
  <si>
    <t>as Outlined in IMF (GFSM 2014)</t>
  </si>
  <si>
    <t>Financing</t>
  </si>
  <si>
    <t xml:space="preserve">رصيد الاحتياطي العام للدولة والحساب الجاري </t>
  </si>
  <si>
    <t xml:space="preserve">Government Reserve and Current Account </t>
  </si>
  <si>
    <t>رصيد الاحتياطي العام للدولة</t>
  </si>
  <si>
    <t>Government Reserve</t>
  </si>
  <si>
    <t xml:space="preserve">الرصيد اخر الفترة </t>
  </si>
  <si>
    <r>
      <rPr>
        <b/>
        <sz val="12"/>
        <color rgb="FFB5A583"/>
        <rFont val="DIN Next LT Arabic"/>
        <family val="2"/>
      </rPr>
      <t>FY 2023</t>
    </r>
    <r>
      <rPr>
        <sz val="12"/>
        <color rgb="FF028992"/>
        <rFont val="DIN Next LT Arabic"/>
        <family val="2"/>
      </rPr>
      <t xml:space="preserve">
Budget</t>
    </r>
  </si>
  <si>
    <r>
      <t xml:space="preserve">الميزانيـــــة العامـــــة للدولــــــة
</t>
    </r>
    <r>
      <rPr>
        <sz val="14"/>
        <color rgb="FF817A65"/>
        <rFont val="DIN Next LT Arabic"/>
        <family val="2"/>
      </rPr>
      <t>للسنة المالية 1446/1445هـ (2024م)</t>
    </r>
  </si>
  <si>
    <r>
      <t xml:space="preserve">The Government Budget 
</t>
    </r>
    <r>
      <rPr>
        <sz val="14"/>
        <color rgb="FF817A65"/>
        <rFont val="DIN Next LT Arabic"/>
        <family val="2"/>
      </rPr>
      <t>For FY 2024</t>
    </r>
  </si>
  <si>
    <t>النتائج الفعلية لميزانية
السنة المالية 1445/1444هـ
(2023م)</t>
  </si>
  <si>
    <t>ميزانية
السنة المالية 1446/1445هـ
(2024م)</t>
  </si>
  <si>
    <t>للسنة المالية 1445/ 1446هـ (2024م)</t>
  </si>
  <si>
    <t>The Government Budget for FY 2024</t>
  </si>
  <si>
    <r>
      <rPr>
        <b/>
        <sz val="12"/>
        <color rgb="FFB5A583"/>
        <rFont val="DIN Next LT Arabic"/>
        <family val="2"/>
      </rPr>
      <t>FY 2023</t>
    </r>
    <r>
      <rPr>
        <sz val="12"/>
        <color rgb="FF028992"/>
        <rFont val="DIN Next LT Arabic"/>
        <family val="2"/>
      </rPr>
      <t xml:space="preserve">
Actual</t>
    </r>
  </si>
  <si>
    <r>
      <rPr>
        <b/>
        <sz val="12"/>
        <color rgb="FFB5A583"/>
        <rFont val="DIN Next LT Arabic"/>
        <family val="2"/>
      </rPr>
      <t>FY 2024</t>
    </r>
    <r>
      <rPr>
        <sz val="12"/>
        <color rgb="FF028992"/>
        <rFont val="DIN Next LT Arabic"/>
        <family val="2"/>
      </rPr>
      <t xml:space="preserve">
Budget</t>
    </r>
  </si>
  <si>
    <t>ميزانية
السنة المالية 1445/1444هـ
(2023م)</t>
  </si>
  <si>
    <t>Current Account of FY 2024</t>
  </si>
  <si>
    <t>الحساب الجاري للسنة المالية 2024م</t>
  </si>
  <si>
    <t>Q2</t>
  </si>
  <si>
    <t>النتائج الفعلية لأداء الميزانية حتى الربع الثالث من السنة المالية 1446/1445هـ (2024م)</t>
  </si>
  <si>
    <r>
      <t xml:space="preserve">أداء الميزانية العامة للدولة للربع الثالث من السنة المالية الحالية </t>
    </r>
    <r>
      <rPr>
        <sz val="11"/>
        <color rgb="FF898989"/>
        <rFont val="DIN Next LT Arabic"/>
        <family val="2"/>
      </rPr>
      <t xml:space="preserve">1445/ 1446هـ (2024م) </t>
    </r>
  </si>
  <si>
    <t>Quarterly Budget Performance Report of FY 2024 Q3 (1445/1446 H)</t>
  </si>
  <si>
    <r>
      <t>الإيرادات الفعلية حتى الربع الثالث من السنة المالية</t>
    </r>
    <r>
      <rPr>
        <b/>
        <sz val="16"/>
        <color rgb="FFFF0000"/>
        <rFont val="DIN Next LT Arabic"/>
        <family val="2"/>
      </rPr>
      <t xml:space="preserve"> </t>
    </r>
    <r>
      <rPr>
        <b/>
        <sz val="16"/>
        <color rgb="FF3BA97C"/>
        <rFont val="DIN Next LT Arabic"/>
        <family val="2"/>
      </rPr>
      <t xml:space="preserve">1445/ 1446هـ (2024م) </t>
    </r>
  </si>
  <si>
    <t>Q3</t>
  </si>
  <si>
    <t>حتى الربع الثالث من السنة المالية 1445/ 1446هـ (2024م)</t>
  </si>
  <si>
    <t xml:space="preserve">أداء الميزانية العامة للدولة للربع الثالث من السنة المالية الحالية 1445/ 1446هـ (2024م) </t>
  </si>
  <si>
    <t>Summary Until Q3 Performance</t>
  </si>
  <si>
    <t>Actual performance Until Q3 of FY 2024</t>
  </si>
  <si>
    <r>
      <t>Actual revenues Until Q3 of FY</t>
    </r>
    <r>
      <rPr>
        <b/>
        <sz val="16"/>
        <color rgb="FF3BA97C"/>
        <rFont val="DIN Next LT Arabic"/>
        <family val="2"/>
      </rPr>
      <t xml:space="preserve"> 2024</t>
    </r>
  </si>
  <si>
    <t>Until Q3 of FY 2024</t>
  </si>
  <si>
    <t>الإيرادات الفعلية للربع الثالث من السنة المالية 1445/ 1446هـ (2024م)</t>
  </si>
  <si>
    <t>Actual revenues in Q3 of FY 2024 Vs. Q3 of FY 2023</t>
  </si>
  <si>
    <t>Actual revenues Until Q3 of FY 2023 Vs.Until Q3 of FY 2024</t>
  </si>
  <si>
    <t>Until Q3</t>
  </si>
  <si>
    <t>الإيرادات الفعلية حتى الربع الثالث من السنة المالية 1446/1445هـ (2024م)</t>
  </si>
  <si>
    <t>النتائج الفعلية لأداء الميزانية للربع الثالث من السنة المالية 1445/ 1446هـ (2024م)</t>
  </si>
  <si>
    <t>Actual performance in Q3 of FY 2024</t>
  </si>
  <si>
    <t>Summary of Q3 Performance</t>
  </si>
  <si>
    <t>Total Financing</t>
  </si>
  <si>
    <t>إجمالي التمويل</t>
  </si>
  <si>
    <t xml:space="preserve">from Borrowing </t>
  </si>
  <si>
    <t xml:space="preserve">من الدين </t>
  </si>
  <si>
    <t>Government Reserves</t>
  </si>
  <si>
    <t>من الاحتياطيات الحكومية</t>
  </si>
  <si>
    <t>Financing Sources</t>
  </si>
  <si>
    <t>فائض/(عجز) الفترة</t>
  </si>
  <si>
    <t>Q1 2024</t>
  </si>
  <si>
    <t>Q2 2024</t>
  </si>
  <si>
    <t>التمويـــل</t>
  </si>
  <si>
    <t xml:space="preserve">الرصيد آخر الفترة </t>
  </si>
  <si>
    <t>Amortization of Government Bonds</t>
  </si>
  <si>
    <t>-</t>
  </si>
  <si>
    <t>إطفاء سندات حكومية</t>
  </si>
  <si>
    <t>Principal Repayment</t>
  </si>
  <si>
    <t xml:space="preserve">سداد أصل الدين </t>
  </si>
  <si>
    <t>Issuances or Borrowings</t>
  </si>
  <si>
    <t xml:space="preserve">الإصدارات أو الاقتراض </t>
  </si>
  <si>
    <t>Beginning of Period Balance</t>
  </si>
  <si>
    <t>الرصيد أول الفترة</t>
  </si>
  <si>
    <t>External Debt</t>
  </si>
  <si>
    <t>Domestic Debt</t>
  </si>
  <si>
    <t>الدين الخارجي</t>
  </si>
  <si>
    <t>الدين الداخلي</t>
  </si>
  <si>
    <t>الديــــن العــــام</t>
  </si>
  <si>
    <t>Q3 2024</t>
  </si>
  <si>
    <t>نتائج الفائض/(العجز) ومصادر التمويـــل حتى الربع الثالث للسنة المالية 1445 / 1446هـ  (2024م)</t>
  </si>
  <si>
    <t>Budget Financing until Q3 of FY 2024</t>
  </si>
  <si>
    <t xml:space="preserve">أداء الميزانية العامة للدولة للربع الثالث من السنة المالية الحالية   1445/  1446هـ (2024م) </t>
  </si>
  <si>
    <t>Public debt  Until Q3 of FY 2024</t>
  </si>
  <si>
    <t>الدين العام حتى الربع الثالث للسنة المالية   1445/  1446هـ (2024م)</t>
  </si>
  <si>
    <r>
      <t xml:space="preserve">رصيد الاحتياطي العام للدولة والحساب الجاري 
</t>
    </r>
    <r>
      <rPr>
        <sz val="14"/>
        <color rgb="FF817A65"/>
        <rFont val="DIN Next LT Arabic"/>
        <family val="2"/>
      </rPr>
      <t>حتى الربع الثالث من السنة المالية 1446/1445هـ (2024م)</t>
    </r>
  </si>
  <si>
    <r>
      <t xml:space="preserve">Government Reserve and Current Account 
</t>
    </r>
    <r>
      <rPr>
        <sz val="14"/>
        <color rgb="FF817A65"/>
        <rFont val="DIN Next LT Arabic"/>
        <family val="2"/>
      </rPr>
      <t>Until Q3 of FY 2024</t>
    </r>
  </si>
  <si>
    <t>Until Q3
2023</t>
  </si>
  <si>
    <t>Until Q3
2024</t>
  </si>
  <si>
    <t>Budget
2024</t>
  </si>
  <si>
    <t>المنصرف حتى الربع الثالث 2023م</t>
  </si>
  <si>
    <t>المنصرف حتى الربع الثالث 2024م</t>
  </si>
  <si>
    <t>الميزانية المعتمدة 2024م</t>
  </si>
  <si>
    <t>Actual expenditures Until Q3 of FY 2024 Vs. Q3 of FY 2023</t>
  </si>
  <si>
    <r>
      <t xml:space="preserve">Non-financial Assets </t>
    </r>
    <r>
      <rPr>
        <sz val="10"/>
        <color rgb="FFA39D87"/>
        <rFont val="DIN Next LT Arabic"/>
        <family val="2"/>
      </rPr>
      <t>(CAPEX)</t>
    </r>
  </si>
  <si>
    <t>Actual expenditures Until Q3 of FY 2023 Vs. Q3 of FY 2024</t>
  </si>
  <si>
    <t xml:space="preserve">المصروفات الفعلية حتى الربع الثالث من السنة المالية 1445/ 1446هـ (2024م) </t>
  </si>
  <si>
    <t>Actual expenditures in Q3 of FY 2024 Vs. Q3 of FY 2023</t>
  </si>
  <si>
    <t xml:space="preserve">المصروفات الفعلية للربع الثالث من السنة المالية 1445/ 1446هـ (2024م) </t>
  </si>
  <si>
    <t>Actual expenditures Until Q3 of FY 2024</t>
  </si>
  <si>
    <t>حتى الربع الثالث مـن السنة المالية 1445 /1446هـ (2024م) مقارنة بالفترة المماثلة من العام السابق</t>
  </si>
  <si>
    <r>
      <t xml:space="preserve">الملخص التنفيذي لأداء الميزانيـــــة العامـــــة للدولــــــة
</t>
    </r>
    <r>
      <rPr>
        <sz val="14"/>
        <color rgb="FF817A65"/>
        <rFont val="DIN Next LT Arabic"/>
        <family val="2"/>
      </rPr>
      <t>للربع الثالث من السنة المالية 1446/1445هـ (2024م)</t>
    </r>
  </si>
  <si>
    <t>نسبة التغير للمنصرف الفعلي حتى الربع الحالي مقارنة بالفترة المماثلة من العام السابق</t>
  </si>
  <si>
    <t>Quarterly Budget Performance Report of FY 2024 Q3 (1445/ 1446 H)</t>
  </si>
  <si>
    <r>
      <t xml:space="preserve">أداء الميزانية العامة للدولة للربع الثالث من السنة المالية الحالية </t>
    </r>
    <r>
      <rPr>
        <sz val="11"/>
        <color rgb="FF898989"/>
        <rFont val="DIN Next LT Arabic"/>
        <family val="2"/>
      </rPr>
      <t>1445/ 1446هـ (2024م)</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</si>
</sst>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55">
    <font>
      <sz val="11"/>
      <color theme="1"/>
      <name val="Arial"/>
      <family val="2"/>
      <scheme val="minor"/>
    </font>
    <font>
      <sz val="12"/>
      <color rgb="FF028992"/>
      <name val="DIN Next LT Arabic"/>
      <family val="2"/>
    </font>
    <font>
      <b/>
      <sz val="12"/>
      <color rgb="FF028992"/>
      <name val="DIN Next LT Arabic"/>
      <family val="2"/>
    </font>
    <font>
      <sz val="11"/>
      <color rgb="FFB5A583"/>
      <name val="DIN Next LT Arabic"/>
      <family val="2"/>
    </font>
    <font>
      <sz val="12"/>
      <color rgb="FFB5A583"/>
      <name val="DIN Next LT Arabic"/>
      <family val="2"/>
    </font>
    <font>
      <b/>
      <sz val="12"/>
      <color rgb="FFB5A583"/>
      <name val="DIN Next LT Arabic"/>
      <family val="2"/>
    </font>
    <font>
      <b/>
      <sz val="12"/>
      <color theme="0"/>
      <name val="DIN Next LT Arabic"/>
      <family val="2"/>
    </font>
    <font>
      <sz val="10"/>
      <color rgb="FFA39D87"/>
      <name val="DIN Next LT Arabic"/>
      <family val="2"/>
    </font>
    <font>
      <sz val="18"/>
      <color rgb="FF028992"/>
      <name val="DIN Next LT Arabic"/>
      <family val="2"/>
    </font>
    <font>
      <b/>
      <sz val="14"/>
      <color theme="0"/>
      <name val="DIN Next LT Arabic"/>
      <family val="2"/>
    </font>
    <font>
      <sz val="14"/>
      <color rgb="FF817A65"/>
      <name val="DIN Next LT Arabic"/>
      <family val="2"/>
    </font>
    <font>
      <b/>
      <sz val="14"/>
      <color rgb="FF817A65"/>
      <name val="DIN Next LT Arabic"/>
      <family val="2"/>
    </font>
    <font>
      <sz val="11"/>
      <color theme="1"/>
      <name val="Arial"/>
      <family val="2"/>
      <scheme val="minor"/>
    </font>
    <font>
      <b/>
      <sz val="14"/>
      <color rgb="FFFFFFFF"/>
      <name val="DIN Next LT Arabic"/>
      <family val="2"/>
    </font>
    <font>
      <sz val="14"/>
      <color theme="1"/>
      <name val="Arial"/>
      <family val="2"/>
      <scheme val="minor"/>
    </font>
    <font>
      <sz val="12"/>
      <color rgb="FF898989"/>
      <name val="DIN Next LT Arabic"/>
      <family val="2"/>
    </font>
    <font>
      <sz val="11"/>
      <color rgb="FF898989"/>
      <name val="DIN Next LT Arabic"/>
      <family val="2"/>
    </font>
    <font>
      <sz val="12"/>
      <color rgb="FFA39D87"/>
      <name val="DIN Next LT Arabic"/>
      <family val="2"/>
    </font>
    <font>
      <sz val="11"/>
      <color rgb="FFFF0000"/>
      <name val="Arial"/>
      <family val="2"/>
      <scheme val="minor"/>
    </font>
    <font>
      <b/>
      <sz val="12"/>
      <color theme="9"/>
      <name val="DIN Next LT Arabic"/>
      <family val="2"/>
    </font>
    <font>
      <b/>
      <sz val="16"/>
      <color rgb="FFB5A583"/>
      <name val="DIN Next LT Arabic"/>
      <family val="2"/>
    </font>
    <font>
      <sz val="16"/>
      <color rgb="FF028992"/>
      <name val="DIN Next LT Arabic"/>
      <family val="2"/>
    </font>
    <font>
      <b/>
      <sz val="16"/>
      <color rgb="FF028992"/>
      <name val="DIN Next LT Arabic"/>
      <family val="2"/>
    </font>
    <font>
      <b/>
      <sz val="16"/>
      <color theme="1"/>
      <name val="Arial"/>
      <family val="2"/>
      <scheme val="minor"/>
    </font>
    <font>
      <b/>
      <sz val="16"/>
      <color rgb="FF46B179"/>
      <name val="DIN Next LT Arabic"/>
      <family val="2"/>
    </font>
    <font>
      <sz val="16"/>
      <color theme="1"/>
      <name val="Arial"/>
      <family val="2"/>
      <scheme val="minor"/>
    </font>
    <font>
      <sz val="16"/>
      <color rgb="FF46B179"/>
      <name val="DIN Next LT Arabic"/>
      <family val="2"/>
    </font>
    <font>
      <sz val="16"/>
      <color rgb="FFB5A583"/>
      <name val="DIN Next LT Arabic"/>
      <family val="2"/>
    </font>
    <font>
      <b/>
      <sz val="16"/>
      <color rgb="FFA39D87"/>
      <name val="DIN Next LT Arabic"/>
      <family val="2"/>
    </font>
    <font>
      <b/>
      <sz val="16"/>
      <color rgb="FFFFFFFF"/>
      <name val="DIN Next LT Arabic"/>
      <family val="2"/>
    </font>
    <font>
      <b/>
      <sz val="16"/>
      <color theme="0"/>
      <name val="DIN Next LT Arabic"/>
      <family val="2"/>
    </font>
    <font>
      <b/>
      <sz val="12"/>
      <color rgb="FFFFFFFF"/>
      <name val="DIN Next LT Arabic"/>
      <family val="2"/>
    </font>
    <font>
      <sz val="14"/>
      <color rgb="FF028992"/>
      <name val="DIN Next LT Arabic"/>
      <family val="2"/>
    </font>
    <font>
      <u/>
      <sz val="11"/>
      <color theme="10"/>
      <name val="Arial"/>
      <family val="2"/>
      <scheme val="minor"/>
    </font>
    <font>
      <sz val="11"/>
      <color rgb="FF028992"/>
      <name val="Arial"/>
      <family val="2"/>
      <scheme val="minor"/>
    </font>
    <font>
      <sz val="24"/>
      <color rgb="FF028992"/>
      <name val="DIN Next LT Arabic"/>
      <family val="2"/>
    </font>
    <font>
      <sz val="10.5"/>
      <color rgb="FF000000"/>
      <name val="DIN Next LT Arabic"/>
      <family val="2"/>
    </font>
    <font>
      <b/>
      <sz val="10.5"/>
      <color rgb="FF028992"/>
      <name val="DIN Next LT Arabic"/>
      <family val="2"/>
    </font>
    <font>
      <b/>
      <sz val="12"/>
      <color rgb="FF1E816F"/>
      <name val="DIN Next LT Arabic"/>
      <family val="2"/>
    </font>
    <font>
      <b/>
      <sz val="12"/>
      <color rgb="FF1E816F"/>
      <name val="Arial"/>
      <family val="2"/>
      <scheme val="minor"/>
    </font>
    <font>
      <sz val="11"/>
      <color rgb="FFECEDEB"/>
      <name val="Arial"/>
      <family val="2"/>
      <scheme val="minor"/>
    </font>
    <font>
      <sz val="10"/>
      <color rgb="FF575757"/>
      <name val="DIN Next LT Arabic"/>
      <family val="2"/>
    </font>
    <font>
      <b/>
      <sz val="16"/>
      <color rgb="FF1E816F"/>
      <name val="DIN Next LT Arabic"/>
      <family val="2"/>
    </font>
    <font>
      <sz val="10"/>
      <color theme="1" tint="0.34998626667073579"/>
      <name val="DIN Next LT Arabic"/>
      <family val="2"/>
    </font>
    <font>
      <sz val="16"/>
      <color rgb="FF1E816F"/>
      <name val="DIN Next LT Arabic"/>
      <family val="2"/>
    </font>
    <font>
      <b/>
      <sz val="12"/>
      <color rgb="FFA39D87"/>
      <name val="DIN Next LT Arabic"/>
      <family val="2"/>
    </font>
    <font>
      <b/>
      <sz val="14"/>
      <color rgb="FF028992"/>
      <name val="DIN Next LT Arabic"/>
      <family val="2"/>
    </font>
    <font>
      <b/>
      <sz val="16"/>
      <color rgb="FFFF0000"/>
      <name val="DIN Next LT Arabic"/>
      <family val="2"/>
    </font>
    <font>
      <b/>
      <sz val="16"/>
      <color rgb="FF3BA97C"/>
      <name val="DIN Next LT Arabic"/>
      <family val="2"/>
    </font>
    <font>
      <b/>
      <sz val="16"/>
      <color rgb="FF00B050"/>
      <name val="DIN Next LT Arabic"/>
      <family val="2"/>
    </font>
    <font>
      <b/>
      <sz val="11"/>
      <color theme="0"/>
      <name val="Arial"/>
      <family val="2"/>
      <scheme val="minor"/>
    </font>
    <font>
      <sz val="11"/>
      <color theme="0"/>
      <name val="Arial"/>
      <family val="2"/>
      <scheme val="minor"/>
    </font>
    <font>
      <b/>
      <sz val="12"/>
      <color rgb="FFFF0000"/>
      <name val="DIN Next LT Arabic"/>
      <family val="2"/>
    </font>
    <font>
      <b/>
      <sz val="11"/>
      <color rgb="FF1E816F"/>
      <name val="DIN Next LT Arabic"/>
      <family val="2"/>
    </font>
    <font>
      <sz val="8"/>
      <name val="Arial"/>
      <family val="2"/>
      <scheme val="minor"/>
    </font>
  </fonts>
  <fills count="12">
    <fill>
      <patternFill patternType="none"/>
    </fill>
    <fill>
      <patternFill patternType="gray125"/>
    </fill>
    <fill>
      <patternFill patternType="solid">
        <fgColor rgb="FFF6F7F5"/>
        <bgColor indexed="64"/>
      </patternFill>
    </fill>
    <fill>
      <patternFill patternType="solid">
        <fgColor rgb="FF3BA97C"/>
        <bgColor indexed="64"/>
      </patternFill>
    </fill>
    <fill>
      <patternFill patternType="solid">
        <fgColor rgb="FF1E816F"/>
        <bgColor indexed="64"/>
      </patternFill>
    </fill>
    <fill>
      <patternFill patternType="solid">
        <fgColor rgb="FFA39D87"/>
        <bgColor indexed="64"/>
      </patternFill>
    </fill>
    <fill>
      <patternFill patternType="solid">
        <fgColor rgb="FF817A65"/>
        <bgColor indexed="64"/>
      </patternFill>
    </fill>
    <fill>
      <patternFill patternType="solid">
        <fgColor rgb="FF028992"/>
        <bgColor indexed="64"/>
      </patternFill>
    </fill>
    <fill>
      <patternFill patternType="solid">
        <fgColor rgb="FFECEDEB"/>
        <bgColor indexed="64"/>
      </patternFill>
    </fill>
    <fill>
      <patternFill patternType="solid">
        <fgColor rgb="FFE1F1E6"/>
        <bgColor indexed="64"/>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style="hair">
        <color theme="0" tint="-0.24994659260841701"/>
      </top>
      <bottom style="hair">
        <color theme="0" tint="-0.24994659260841701"/>
      </bottom>
      <diagonal/>
    </border>
    <border>
      <left/>
      <right/>
      <top/>
      <bottom style="medium">
        <color rgb="FFB5A583"/>
      </bottom>
      <diagonal/>
    </border>
    <border>
      <left/>
      <right/>
      <top/>
      <bottom style="hair">
        <color theme="0" tint="-0.24994659260841701"/>
      </bottom>
      <diagonal/>
    </border>
    <border>
      <left/>
      <right/>
      <top style="hair">
        <color theme="0" tint="-0.24994659260841701"/>
      </top>
      <bottom/>
      <diagonal/>
    </border>
    <border>
      <left/>
      <right/>
      <top/>
      <bottom style="thick">
        <color rgb="FF000000"/>
      </bottom>
      <diagonal/>
    </border>
    <border>
      <left style="thin">
        <color theme="0"/>
      </left>
      <right style="thin">
        <color theme="0"/>
      </right>
      <top/>
      <bottom style="thin">
        <color theme="0"/>
      </bottom>
      <diagonal/>
    </border>
    <border>
      <left/>
      <right style="thin">
        <color theme="0"/>
      </right>
      <top/>
      <bottom style="thin">
        <color theme="0"/>
      </bottom>
      <diagonal/>
    </border>
    <border>
      <left/>
      <right/>
      <top style="hair">
        <color theme="0" tint="-0.24994659260841701"/>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style="thin">
        <color theme="0"/>
      </top>
      <bottom/>
      <diagonal/>
    </border>
    <border>
      <left/>
      <right/>
      <top style="thin">
        <color theme="0"/>
      </top>
      <bottom style="hair">
        <color theme="0" tint="-0.24994659260841701"/>
      </bottom>
      <diagonal/>
    </border>
    <border>
      <left style="thin">
        <color theme="0"/>
      </left>
      <right/>
      <top style="thin">
        <color theme="0"/>
      </top>
      <bottom/>
      <diagonal/>
    </border>
    <border>
      <left/>
      <right/>
      <top/>
      <bottom style="thin">
        <color theme="0"/>
      </bottom>
      <diagonal/>
    </border>
    <border>
      <left/>
      <right/>
      <top style="thin">
        <color theme="0"/>
      </top>
      <bottom/>
      <diagonal/>
    </border>
    <border>
      <left style="thin">
        <color theme="0"/>
      </left>
      <right style="thin">
        <color theme="0"/>
      </right>
      <top style="thin">
        <color theme="0"/>
      </top>
      <bottom/>
      <diagonal/>
    </border>
  </borders>
  <cellStyleXfs count="4">
    <xf numFmtId="0" fontId="0" fillId="0" borderId="0"/>
    <xf numFmtId="9" fontId="12" fillId="0" borderId="0" applyFont="0" applyFill="0" applyBorder="0" applyAlignment="0" applyProtection="0"/>
    <xf numFmtId="0" fontId="33" fillId="0" borderId="0" applyNumberFormat="0" applyFill="0" applyBorder="0" applyAlignment="0" applyProtection="0"/>
    <xf numFmtId="43" fontId="12" fillId="0" borderId="0" applyFont="0" applyFill="0" applyBorder="0" applyAlignment="0" applyProtection="0"/>
  </cellStyleXfs>
  <cellXfs count="186">
    <xf numFmtId="0" fontId="0" fillId="0" borderId="0" xfId="0"/>
    <xf numFmtId="0" fontId="2" fillId="0" borderId="1" xfId="0" applyFont="1" applyBorder="1" applyAlignment="1">
      <alignment horizontal="right" vertical="center"/>
    </xf>
    <xf numFmtId="0" fontId="2" fillId="0" borderId="1" xfId="0" applyFont="1" applyBorder="1" applyAlignment="1">
      <alignment horizontal="left" vertical="center"/>
    </xf>
    <xf numFmtId="0" fontId="2" fillId="0" borderId="3" xfId="0" applyFont="1" applyBorder="1" applyAlignment="1">
      <alignment horizontal="right" vertical="center"/>
    </xf>
    <xf numFmtId="0" fontId="2" fillId="0" borderId="3" xfId="0" applyFont="1" applyBorder="1" applyAlignment="1">
      <alignment horizontal="left" vertical="center"/>
    </xf>
    <xf numFmtId="0" fontId="1" fillId="2" borderId="0" xfId="0" applyFont="1" applyFill="1" applyAlignment="1">
      <alignment horizontal="center" vertical="center" wrapText="1"/>
    </xf>
    <xf numFmtId="0" fontId="3" fillId="0" borderId="0" xfId="0" applyFont="1"/>
    <xf numFmtId="0" fontId="4" fillId="2" borderId="0" xfId="0" applyFont="1" applyFill="1" applyAlignment="1">
      <alignment horizontal="center" vertical="center" wrapText="1"/>
    </xf>
    <xf numFmtId="0" fontId="1" fillId="0" borderId="3" xfId="0" applyFont="1" applyBorder="1" applyAlignment="1">
      <alignment horizontal="left" vertical="center"/>
    </xf>
    <xf numFmtId="0" fontId="0" fillId="0" borderId="0" xfId="0" applyAlignment="1">
      <alignment horizontal="left"/>
    </xf>
    <xf numFmtId="0" fontId="4" fillId="0" borderId="0" xfId="0" applyFont="1" applyAlignment="1">
      <alignment horizontal="left" vertical="center"/>
    </xf>
    <xf numFmtId="0" fontId="4" fillId="0" borderId="0" xfId="0" applyFont="1" applyAlignment="1">
      <alignment horizontal="right" vertical="center" readingOrder="2"/>
    </xf>
    <xf numFmtId="0" fontId="6" fillId="4" borderId="0" xfId="0" applyFont="1" applyFill="1" applyAlignment="1">
      <alignment horizontal="right" vertical="center"/>
    </xf>
    <xf numFmtId="0" fontId="6" fillId="4" borderId="0" xfId="0" applyFont="1" applyFill="1" applyAlignment="1">
      <alignment horizontal="left" vertical="center"/>
    </xf>
    <xf numFmtId="0" fontId="2" fillId="0" borderId="4" xfId="0" applyFont="1" applyBorder="1" applyAlignment="1">
      <alignment horizontal="right" vertical="center" wrapText="1"/>
    </xf>
    <xf numFmtId="0" fontId="2" fillId="0" borderId="4" xfId="0" applyFont="1" applyBorder="1" applyAlignment="1">
      <alignment horizontal="left" vertical="center" wrapText="1"/>
    </xf>
    <xf numFmtId="0" fontId="6" fillId="5" borderId="0" xfId="0" applyFont="1" applyFill="1" applyAlignment="1">
      <alignment horizontal="center" vertical="center" wrapText="1"/>
    </xf>
    <xf numFmtId="0" fontId="1" fillId="0" borderId="0" xfId="0" applyFont="1" applyAlignment="1">
      <alignment horizontal="left" vertical="center"/>
    </xf>
    <xf numFmtId="0" fontId="6" fillId="6" borderId="0" xfId="0" applyFont="1" applyFill="1" applyAlignment="1">
      <alignment horizontal="right" vertical="center"/>
    </xf>
    <xf numFmtId="0" fontId="6" fillId="6" borderId="0" xfId="0" applyFont="1" applyFill="1" applyAlignment="1">
      <alignment horizontal="left" vertical="center"/>
    </xf>
    <xf numFmtId="0" fontId="1" fillId="0" borderId="3" xfId="0" applyFont="1" applyBorder="1" applyAlignment="1">
      <alignment horizontal="right" vertical="center"/>
    </xf>
    <xf numFmtId="0" fontId="1" fillId="0" borderId="0" xfId="0" applyFont="1" applyAlignment="1">
      <alignment horizontal="right" vertical="center"/>
    </xf>
    <xf numFmtId="0" fontId="8" fillId="0" borderId="0" xfId="0" applyFont="1"/>
    <xf numFmtId="0" fontId="3" fillId="0" borderId="0" xfId="0" applyFont="1" applyAlignment="1">
      <alignment horizontal="right"/>
    </xf>
    <xf numFmtId="0" fontId="1" fillId="0" borderId="1" xfId="0" applyFont="1" applyBorder="1" applyAlignment="1">
      <alignment horizontal="right" vertical="center" wrapText="1"/>
    </xf>
    <xf numFmtId="0" fontId="1" fillId="0" borderId="1" xfId="0" applyFont="1" applyBorder="1" applyAlignment="1">
      <alignment horizontal="left" vertical="center" wrapText="1"/>
    </xf>
    <xf numFmtId="0" fontId="3" fillId="0" borderId="0" xfId="0" applyFont="1" applyAlignment="1">
      <alignment horizontal="left"/>
    </xf>
    <xf numFmtId="0" fontId="9" fillId="7" borderId="0" xfId="0" applyFont="1" applyFill="1" applyAlignment="1">
      <alignment horizontal="center" vertical="center"/>
    </xf>
    <xf numFmtId="0" fontId="11" fillId="8" borderId="0" xfId="0" applyFont="1" applyFill="1" applyAlignment="1">
      <alignment horizontal="right" vertical="center"/>
    </xf>
    <xf numFmtId="0" fontId="11" fillId="8" borderId="0" xfId="0" applyFont="1" applyFill="1" applyAlignment="1">
      <alignment horizontal="right" vertical="center" wrapText="1"/>
    </xf>
    <xf numFmtId="0" fontId="11" fillId="8" borderId="0" xfId="0" applyFont="1" applyFill="1" applyAlignment="1">
      <alignment horizontal="left" vertical="center" wrapText="1"/>
    </xf>
    <xf numFmtId="0" fontId="11" fillId="8" borderId="0" xfId="0" applyFont="1" applyFill="1" applyAlignment="1">
      <alignment horizontal="left" vertical="center"/>
    </xf>
    <xf numFmtId="0" fontId="14" fillId="0" borderId="0" xfId="0" applyFont="1"/>
    <xf numFmtId="0" fontId="15" fillId="0" borderId="0" xfId="0" applyFont="1"/>
    <xf numFmtId="0" fontId="15" fillId="0" borderId="0" xfId="0" applyFont="1" applyAlignment="1">
      <alignment horizontal="center" vertical="center" readingOrder="1"/>
    </xf>
    <xf numFmtId="3" fontId="2" fillId="0" borderId="3" xfId="0" applyNumberFormat="1" applyFont="1" applyBorder="1" applyAlignment="1">
      <alignment horizontal="center" vertical="center"/>
    </xf>
    <xf numFmtId="3" fontId="2" fillId="0" borderId="1" xfId="0" applyNumberFormat="1" applyFont="1" applyBorder="1" applyAlignment="1">
      <alignment horizontal="center" vertical="center"/>
    </xf>
    <xf numFmtId="37" fontId="19" fillId="0" borderId="2" xfId="0" applyNumberFormat="1" applyFont="1" applyBorder="1" applyAlignment="1">
      <alignment horizontal="center" vertical="center"/>
    </xf>
    <xf numFmtId="0" fontId="18" fillId="0" borderId="0" xfId="0" applyFont="1"/>
    <xf numFmtId="0" fontId="18" fillId="10" borderId="0" xfId="0" applyFont="1" applyFill="1"/>
    <xf numFmtId="3" fontId="2" fillId="0" borderId="4" xfId="0" applyNumberFormat="1" applyFont="1" applyBorder="1" applyAlignment="1">
      <alignment horizontal="center" vertical="center"/>
    </xf>
    <xf numFmtId="9" fontId="2" fillId="0" borderId="3" xfId="1" applyFont="1" applyBorder="1" applyAlignment="1">
      <alignment horizontal="center" vertical="center"/>
    </xf>
    <xf numFmtId="9" fontId="1" fillId="0" borderId="1" xfId="1" applyFont="1" applyBorder="1" applyAlignment="1">
      <alignment horizontal="center" vertical="center"/>
    </xf>
    <xf numFmtId="9" fontId="2" fillId="0" borderId="4" xfId="1" applyFont="1" applyBorder="1" applyAlignment="1">
      <alignment horizontal="center" vertical="center"/>
    </xf>
    <xf numFmtId="9" fontId="6" fillId="4" borderId="0" xfId="1" applyFont="1" applyFill="1" applyAlignment="1">
      <alignment horizontal="center" vertical="center"/>
    </xf>
    <xf numFmtId="3" fontId="2" fillId="0" borderId="0" xfId="0" applyNumberFormat="1" applyFont="1" applyAlignment="1">
      <alignment horizontal="center" vertical="center"/>
    </xf>
    <xf numFmtId="9" fontId="6" fillId="6" borderId="0" xfId="1" applyFont="1" applyFill="1" applyAlignment="1">
      <alignment horizontal="center" vertical="center"/>
    </xf>
    <xf numFmtId="0" fontId="15" fillId="0" borderId="0" xfId="0" applyFont="1" applyAlignment="1">
      <alignment horizontal="left" vertical="center" readingOrder="1"/>
    </xf>
    <xf numFmtId="0" fontId="20" fillId="0" borderId="0" xfId="0" applyFont="1" applyAlignment="1">
      <alignment horizontal="right" vertical="center" readingOrder="1"/>
    </xf>
    <xf numFmtId="0" fontId="21" fillId="0" borderId="0" xfId="0" applyFont="1"/>
    <xf numFmtId="0" fontId="20" fillId="0" borderId="0" xfId="0" applyFont="1" applyAlignment="1">
      <alignment horizontal="left" vertical="center" readingOrder="1"/>
    </xf>
    <xf numFmtId="0" fontId="22" fillId="0" borderId="0" xfId="0" applyFont="1"/>
    <xf numFmtId="0" fontId="23" fillId="0" borderId="0" xfId="0" applyFont="1"/>
    <xf numFmtId="0" fontId="24" fillId="0" borderId="0" xfId="0" applyFont="1" applyAlignment="1">
      <alignment horizontal="right" vertical="center" readingOrder="2"/>
    </xf>
    <xf numFmtId="0" fontId="25" fillId="0" borderId="0" xfId="0" applyFont="1"/>
    <xf numFmtId="0" fontId="24" fillId="0" borderId="0" xfId="0" applyFont="1" applyAlignment="1">
      <alignment horizontal="left" vertical="center" readingOrder="1"/>
    </xf>
    <xf numFmtId="0" fontId="26" fillId="0" borderId="0" xfId="0" applyFont="1" applyAlignment="1">
      <alignment horizontal="right" vertical="center" readingOrder="2"/>
    </xf>
    <xf numFmtId="0" fontId="26" fillId="0" borderId="0" xfId="0" applyFont="1" applyAlignment="1">
      <alignment horizontal="left" vertical="center" readingOrder="1"/>
    </xf>
    <xf numFmtId="0" fontId="27" fillId="0" borderId="0" xfId="0" applyFont="1" applyAlignment="1">
      <alignment horizontal="right" vertical="center" readingOrder="1"/>
    </xf>
    <xf numFmtId="0" fontId="9" fillId="3" borderId="0" xfId="0" applyFont="1" applyFill="1" applyAlignment="1">
      <alignment horizontal="center" vertical="center" wrapText="1"/>
    </xf>
    <xf numFmtId="0" fontId="25" fillId="0" borderId="0" xfId="0" applyFont="1" applyAlignment="1">
      <alignment horizontal="right"/>
    </xf>
    <xf numFmtId="0" fontId="24" fillId="0" borderId="0" xfId="0" applyFont="1" applyAlignment="1">
      <alignment horizontal="left" vertical="center" readingOrder="2"/>
    </xf>
    <xf numFmtId="0" fontId="28" fillId="0" borderId="0" xfId="0" applyFont="1" applyAlignment="1">
      <alignment horizontal="right" vertical="center" readingOrder="2"/>
    </xf>
    <xf numFmtId="0" fontId="25" fillId="0" borderId="0" xfId="0" applyFont="1" applyAlignment="1">
      <alignment horizontal="left"/>
    </xf>
    <xf numFmtId="0" fontId="28" fillId="0" borderId="0" xfId="0" applyFont="1" applyAlignment="1">
      <alignment horizontal="left" vertical="center" readingOrder="1"/>
    </xf>
    <xf numFmtId="0" fontId="31" fillId="6" borderId="0" xfId="0" applyFont="1" applyFill="1" applyAlignment="1">
      <alignment horizontal="right" vertical="center" wrapText="1" readingOrder="2"/>
    </xf>
    <xf numFmtId="0" fontId="9" fillId="5" borderId="0" xfId="0" applyFont="1" applyFill="1" applyAlignment="1">
      <alignment horizontal="center" vertical="center" wrapText="1"/>
    </xf>
    <xf numFmtId="0" fontId="11" fillId="8" borderId="0" xfId="2" applyFont="1" applyFill="1" applyAlignment="1">
      <alignment horizontal="right" vertical="center" wrapText="1"/>
    </xf>
    <xf numFmtId="0" fontId="11" fillId="8" borderId="0" xfId="2" applyFont="1" applyFill="1" applyAlignment="1">
      <alignment horizontal="right" vertical="center"/>
    </xf>
    <xf numFmtId="0" fontId="11" fillId="8" borderId="0" xfId="2" applyFont="1" applyFill="1" applyAlignment="1">
      <alignment horizontal="left" vertical="center" wrapText="1"/>
    </xf>
    <xf numFmtId="0" fontId="11" fillId="8" borderId="0" xfId="2" applyFont="1" applyFill="1" applyAlignment="1">
      <alignment horizontal="left" vertical="center"/>
    </xf>
    <xf numFmtId="0" fontId="34" fillId="0" borderId="0" xfId="0" applyFont="1"/>
    <xf numFmtId="0" fontId="35" fillId="0" borderId="0" xfId="0" applyFont="1" applyAlignment="1">
      <alignment horizontal="right" vertical="center" readingOrder="2"/>
    </xf>
    <xf numFmtId="0" fontId="36" fillId="11" borderId="0" xfId="0" applyFont="1" applyFill="1" applyAlignment="1">
      <alignment horizontal="right" vertical="center" wrapText="1" readingOrder="2"/>
    </xf>
    <xf numFmtId="0" fontId="37" fillId="9" borderId="0" xfId="0" applyFont="1" applyFill="1" applyAlignment="1">
      <alignment horizontal="center" vertical="center" wrapText="1" readingOrder="2"/>
    </xf>
    <xf numFmtId="0" fontId="37" fillId="9" borderId="0" xfId="0" applyFont="1" applyFill="1" applyAlignment="1">
      <alignment horizontal="center" vertical="center" wrapText="1" readingOrder="1"/>
    </xf>
    <xf numFmtId="0" fontId="36" fillId="2" borderId="0" xfId="0" applyFont="1" applyFill="1" applyAlignment="1">
      <alignment horizontal="right" vertical="center" wrapText="1" readingOrder="2"/>
    </xf>
    <xf numFmtId="0" fontId="36" fillId="2" borderId="5" xfId="0" applyFont="1" applyFill="1" applyBorder="1" applyAlignment="1">
      <alignment horizontal="right" vertical="center" wrapText="1" readingOrder="2"/>
    </xf>
    <xf numFmtId="0" fontId="36" fillId="0" borderId="0" xfId="0" applyFont="1" applyAlignment="1">
      <alignment horizontal="right" vertical="center" wrapText="1" readingOrder="2"/>
    </xf>
    <xf numFmtId="0" fontId="22" fillId="0" borderId="0" xfId="0" applyFont="1" applyAlignment="1">
      <alignment horizontal="right" vertical="center"/>
    </xf>
    <xf numFmtId="0" fontId="32" fillId="0" borderId="0" xfId="0" applyFont="1" applyAlignment="1">
      <alignment horizontal="right" vertical="center"/>
    </xf>
    <xf numFmtId="0" fontId="27" fillId="0" borderId="0" xfId="0" applyFont="1"/>
    <xf numFmtId="0" fontId="38" fillId="0" borderId="0" xfId="0" applyFont="1"/>
    <xf numFmtId="0" fontId="39" fillId="0" borderId="0" xfId="0" applyFont="1"/>
    <xf numFmtId="0" fontId="40" fillId="0" borderId="0" xfId="0" applyFont="1"/>
    <xf numFmtId="0" fontId="42" fillId="0" borderId="0" xfId="0" applyFont="1" applyAlignment="1">
      <alignment horizontal="right" vertical="center" readingOrder="2"/>
    </xf>
    <xf numFmtId="0" fontId="42" fillId="0" borderId="0" xfId="0" applyFont="1" applyAlignment="1">
      <alignment horizontal="center" vertical="center" readingOrder="2"/>
    </xf>
    <xf numFmtId="0" fontId="8" fillId="0" borderId="0" xfId="0" applyFont="1" applyAlignment="1">
      <alignment vertical="center"/>
    </xf>
    <xf numFmtId="0" fontId="0" fillId="0" borderId="0" xfId="0" applyAlignment="1">
      <alignment vertical="center"/>
    </xf>
    <xf numFmtId="0" fontId="35" fillId="0" borderId="0" xfId="0" applyFont="1" applyAlignment="1">
      <alignment horizontal="left" vertical="center" readingOrder="2"/>
    </xf>
    <xf numFmtId="0" fontId="44" fillId="0" borderId="0" xfId="0" applyFont="1" applyAlignment="1">
      <alignment horizontal="left"/>
    </xf>
    <xf numFmtId="0" fontId="44" fillId="0" borderId="0" xfId="0" applyFont="1"/>
    <xf numFmtId="0" fontId="36" fillId="2" borderId="0" xfId="0" applyFont="1" applyFill="1" applyAlignment="1">
      <alignment horizontal="left" vertical="center" wrapText="1" readingOrder="1"/>
    </xf>
    <xf numFmtId="0" fontId="36" fillId="11" borderId="0" xfId="0" applyFont="1" applyFill="1" applyAlignment="1">
      <alignment horizontal="left" vertical="center" wrapText="1" readingOrder="1"/>
    </xf>
    <xf numFmtId="0" fontId="36" fillId="2" borderId="5" xfId="0" applyFont="1" applyFill="1" applyBorder="1" applyAlignment="1">
      <alignment horizontal="left" vertical="center" wrapText="1" readingOrder="1"/>
    </xf>
    <xf numFmtId="0" fontId="45" fillId="0" borderId="2" xfId="0" applyFont="1" applyBorder="1" applyAlignment="1">
      <alignment horizontal="left" vertical="center"/>
    </xf>
    <xf numFmtId="0" fontId="45" fillId="0" borderId="2" xfId="0" applyFont="1" applyBorder="1" applyAlignment="1">
      <alignment horizontal="right" vertical="center"/>
    </xf>
    <xf numFmtId="9" fontId="0" fillId="0" borderId="0" xfId="1" applyFont="1"/>
    <xf numFmtId="0" fontId="0" fillId="0" borderId="0" xfId="1" applyNumberFormat="1" applyFont="1"/>
    <xf numFmtId="0" fontId="22" fillId="0" borderId="0" xfId="0" applyFont="1" applyAlignment="1">
      <alignment horizontal="right"/>
    </xf>
    <xf numFmtId="3" fontId="46" fillId="0" borderId="0" xfId="0" applyNumberFormat="1" applyFont="1" applyAlignment="1">
      <alignment horizontal="right" vertical="center"/>
    </xf>
    <xf numFmtId="3" fontId="46" fillId="0" borderId="0" xfId="0" applyNumberFormat="1" applyFont="1" applyAlignment="1">
      <alignment horizontal="center" vertical="center"/>
    </xf>
    <xf numFmtId="38" fontId="46" fillId="0" borderId="0" xfId="0" applyNumberFormat="1" applyFont="1" applyAlignment="1">
      <alignment horizontal="left" vertical="center"/>
    </xf>
    <xf numFmtId="3" fontId="46" fillId="0" borderId="3" xfId="0" applyNumberFormat="1" applyFont="1" applyBorder="1" applyAlignment="1">
      <alignment horizontal="right" vertical="center"/>
    </xf>
    <xf numFmtId="3" fontId="46" fillId="0" borderId="3" xfId="0" applyNumberFormat="1" applyFont="1" applyBorder="1" applyAlignment="1">
      <alignment horizontal="left" vertical="center"/>
    </xf>
    <xf numFmtId="0" fontId="15" fillId="0" borderId="0" xfId="0" applyFont="1" applyAlignment="1">
      <alignment horizontal="right"/>
    </xf>
    <xf numFmtId="3" fontId="46" fillId="0" borderId="3" xfId="0" applyNumberFormat="1" applyFont="1" applyBorder="1" applyAlignment="1">
      <alignment horizontal="center" vertical="center"/>
    </xf>
    <xf numFmtId="0" fontId="11" fillId="8" borderId="0" xfId="2" applyFont="1" applyFill="1" applyAlignment="1">
      <alignment horizontal="left" vertical="center" wrapText="1" readingOrder="1"/>
    </xf>
    <xf numFmtId="0" fontId="9" fillId="3" borderId="0" xfId="0" applyFont="1" applyFill="1" applyAlignment="1">
      <alignment horizontal="center" vertical="center"/>
    </xf>
    <xf numFmtId="0" fontId="13" fillId="3" borderId="0" xfId="0" applyFont="1" applyFill="1" applyAlignment="1">
      <alignment horizontal="center" vertical="center" wrapText="1" readingOrder="1"/>
    </xf>
    <xf numFmtId="3" fontId="1" fillId="0" borderId="1" xfId="0" applyNumberFormat="1" applyFont="1" applyBorder="1" applyAlignment="1">
      <alignment horizontal="center" vertical="center"/>
    </xf>
    <xf numFmtId="37" fontId="6" fillId="4" borderId="0" xfId="0" applyNumberFormat="1" applyFont="1" applyFill="1" applyAlignment="1">
      <alignment horizontal="center" vertical="center"/>
    </xf>
    <xf numFmtId="0" fontId="3" fillId="0" borderId="0" xfId="0" applyFont="1" applyAlignment="1">
      <alignment horizontal="left" vertical="center"/>
    </xf>
    <xf numFmtId="0" fontId="49" fillId="0" borderId="0" xfId="0" applyFont="1" applyAlignment="1">
      <alignment horizontal="left" vertical="center" readingOrder="1"/>
    </xf>
    <xf numFmtId="3" fontId="2" fillId="0" borderId="4" xfId="0" applyNumberFormat="1" applyFont="1" applyBorder="1" applyAlignment="1">
      <alignment horizontal="center" vertical="center"/>
    </xf>
    <xf numFmtId="0" fontId="9" fillId="3" borderId="0" xfId="0" applyFont="1" applyFill="1" applyAlignment="1">
      <alignment horizontal="center" vertical="center"/>
    </xf>
    <xf numFmtId="3" fontId="2" fillId="0" borderId="4"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4" xfId="0" applyNumberFormat="1" applyFont="1" applyBorder="1" applyAlignment="1">
      <alignment horizontal="center" vertical="center"/>
    </xf>
    <xf numFmtId="0" fontId="51" fillId="0" borderId="0" xfId="0" applyFont="1"/>
    <xf numFmtId="164" fontId="51" fillId="0" borderId="0" xfId="3" applyNumberFormat="1" applyFont="1"/>
    <xf numFmtId="0" fontId="51" fillId="10" borderId="0" xfId="0" applyFont="1" applyFill="1"/>
    <xf numFmtId="164" fontId="50" fillId="0" borderId="0" xfId="3" applyNumberFormat="1" applyFont="1" applyAlignment="1">
      <alignment horizontal="center"/>
    </xf>
    <xf numFmtId="0" fontId="6" fillId="7" borderId="0" xfId="0" applyFont="1" applyFill="1" applyAlignment="1">
      <alignment horizontal="left" vertical="center"/>
    </xf>
    <xf numFmtId="3" fontId="6" fillId="7" borderId="0" xfId="0" applyNumberFormat="1" applyFont="1" applyFill="1" applyAlignment="1">
      <alignment horizontal="center" vertical="center"/>
    </xf>
    <xf numFmtId="0" fontId="6" fillId="7" borderId="0" xfId="0" applyFont="1" applyFill="1" applyAlignment="1">
      <alignment horizontal="right" vertical="center"/>
    </xf>
    <xf numFmtId="0" fontId="1" fillId="0" borderId="3" xfId="0" applyFont="1" applyBorder="1" applyAlignment="1">
      <alignment horizontal="center" vertical="center"/>
    </xf>
    <xf numFmtId="0" fontId="2" fillId="0" borderId="0" xfId="0" applyFont="1" applyAlignment="1">
      <alignment vertical="center"/>
    </xf>
    <xf numFmtId="37" fontId="52" fillId="0" borderId="0" xfId="0" applyNumberFormat="1" applyFont="1" applyAlignment="1">
      <alignment horizontal="center" vertical="center"/>
    </xf>
    <xf numFmtId="0" fontId="2" fillId="0" borderId="0" xfId="0" applyFont="1" applyAlignment="1">
      <alignment horizontal="right" vertical="center"/>
    </xf>
    <xf numFmtId="0" fontId="32" fillId="0" borderId="0" xfId="0" applyFont="1"/>
    <xf numFmtId="3" fontId="0" fillId="0" borderId="0" xfId="0" applyNumberFormat="1"/>
    <xf numFmtId="3" fontId="5" fillId="9" borderId="12" xfId="0" applyNumberFormat="1" applyFont="1" applyFill="1" applyBorder="1" applyAlignment="1">
      <alignment horizontal="center" vertical="center" wrapText="1"/>
    </xf>
    <xf numFmtId="3" fontId="2" fillId="0" borderId="4" xfId="0" applyNumberFormat="1" applyFont="1" applyBorder="1" applyAlignment="1">
      <alignment horizontal="left" vertical="center" indent="3"/>
    </xf>
    <xf numFmtId="3" fontId="2" fillId="0" borderId="4" xfId="0" applyNumberFormat="1" applyFont="1" applyBorder="1" applyAlignment="1">
      <alignment horizontal="right" vertical="center" indent="3"/>
    </xf>
    <xf numFmtId="3" fontId="2" fillId="0" borderId="1" xfId="0" applyNumberFormat="1" applyFont="1" applyBorder="1" applyAlignment="1">
      <alignment horizontal="left" vertical="center" indent="3"/>
    </xf>
    <xf numFmtId="3" fontId="2" fillId="0" borderId="1" xfId="0" applyNumberFormat="1" applyFont="1" applyBorder="1" applyAlignment="1">
      <alignment horizontal="right" vertical="center" indent="3"/>
    </xf>
    <xf numFmtId="3" fontId="2" fillId="0" borderId="3" xfId="0" applyNumberFormat="1" applyFont="1" applyBorder="1" applyAlignment="1">
      <alignment horizontal="left" vertical="center" indent="3"/>
    </xf>
    <xf numFmtId="3" fontId="2" fillId="0" borderId="3" xfId="0" applyNumberFormat="1" applyFont="1" applyBorder="1" applyAlignment="1">
      <alignment horizontal="right" vertical="center" indent="3"/>
    </xf>
    <xf numFmtId="3" fontId="5" fillId="9" borderId="14" xfId="0" applyNumberFormat="1" applyFont="1" applyFill="1" applyBorder="1" applyAlignment="1">
      <alignment horizontal="center" vertical="center" wrapText="1"/>
    </xf>
    <xf numFmtId="0" fontId="2" fillId="8" borderId="14"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53" fillId="0" borderId="0" xfId="0" applyFont="1" applyAlignment="1">
      <alignment horizontal="left"/>
    </xf>
    <xf numFmtId="0" fontId="53" fillId="0" borderId="0" xfId="0" applyFont="1" applyAlignment="1">
      <alignment horizontal="right"/>
    </xf>
    <xf numFmtId="0" fontId="9" fillId="5" borderId="0" xfId="0" applyFont="1" applyFill="1" applyAlignment="1">
      <alignment horizontal="center" vertical="center"/>
    </xf>
    <xf numFmtId="0" fontId="29" fillId="5" borderId="0" xfId="0" applyFont="1" applyFill="1" applyAlignment="1">
      <alignment horizontal="center" vertical="center" wrapText="1" readingOrder="1"/>
    </xf>
    <xf numFmtId="3" fontId="2" fillId="0" borderId="1" xfId="0" applyNumberFormat="1" applyFont="1" applyBorder="1" applyAlignment="1">
      <alignment horizontal="center" vertical="center"/>
    </xf>
    <xf numFmtId="3" fontId="2" fillId="0" borderId="4" xfId="0" applyNumberFormat="1" applyFont="1" applyBorder="1" applyAlignment="1">
      <alignment horizontal="center" vertical="center"/>
    </xf>
    <xf numFmtId="3" fontId="6" fillId="6" borderId="0" xfId="0" applyNumberFormat="1" applyFont="1" applyFill="1" applyAlignment="1">
      <alignment horizontal="center" vertical="center"/>
    </xf>
    <xf numFmtId="165" fontId="2" fillId="0" borderId="3" xfId="1" applyNumberFormat="1" applyFont="1" applyBorder="1" applyAlignment="1">
      <alignment horizontal="center" vertical="center"/>
    </xf>
    <xf numFmtId="3" fontId="2" fillId="0" borderId="4"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165" fontId="0" fillId="0" borderId="0" xfId="1" applyNumberFormat="1" applyFont="1"/>
    <xf numFmtId="3" fontId="2" fillId="0" borderId="3" xfId="0" applyNumberFormat="1" applyFont="1" applyBorder="1" applyAlignment="1">
      <alignment horizontal="center" vertical="center" wrapText="1"/>
    </xf>
    <xf numFmtId="3" fontId="6" fillId="6" borderId="0" xfId="0" applyNumberFormat="1" applyFont="1" applyFill="1" applyAlignment="1">
      <alignment horizontal="center" vertical="center" wrapText="1"/>
    </xf>
    <xf numFmtId="0" fontId="41" fillId="0" borderId="0" xfId="0" applyFont="1" applyAlignment="1">
      <alignment horizontal="left" vertical="center" wrapText="1" readingOrder="1"/>
    </xf>
    <xf numFmtId="0" fontId="41" fillId="0" borderId="0" xfId="0" applyFont="1" applyAlignment="1">
      <alignment horizontal="center" vertical="center" wrapText="1" readingOrder="2"/>
    </xf>
    <xf numFmtId="0" fontId="2" fillId="2" borderId="0" xfId="0" applyFont="1" applyFill="1" applyAlignment="1">
      <alignment horizontal="center" vertical="center"/>
    </xf>
    <xf numFmtId="0" fontId="9" fillId="3" borderId="0" xfId="0" applyFont="1" applyFill="1" applyAlignment="1">
      <alignment horizontal="center" vertical="center"/>
    </xf>
    <xf numFmtId="0" fontId="13" fillId="3" borderId="0" xfId="0" applyFont="1" applyFill="1" applyAlignment="1">
      <alignment horizontal="center" vertical="center" wrapText="1"/>
    </xf>
    <xf numFmtId="0" fontId="9" fillId="5" borderId="0" xfId="0" applyFont="1" applyFill="1" applyAlignment="1">
      <alignment horizontal="center" vertical="center"/>
    </xf>
    <xf numFmtId="0" fontId="6" fillId="5" borderId="0" xfId="0" applyFont="1" applyFill="1" applyAlignment="1">
      <alignment horizontal="left" vertical="center"/>
    </xf>
    <xf numFmtId="0" fontId="29" fillId="5" borderId="0" xfId="0" applyFont="1" applyFill="1" applyAlignment="1">
      <alignment horizontal="center" vertical="center" wrapText="1" readingOrder="2"/>
    </xf>
    <xf numFmtId="0" fontId="29" fillId="5" borderId="0" xfId="0" applyFont="1" applyFill="1" applyAlignment="1">
      <alignment horizontal="center" vertical="center" wrapText="1" readingOrder="1"/>
    </xf>
    <xf numFmtId="0" fontId="30" fillId="5" borderId="0" xfId="0" applyFont="1" applyFill="1" applyAlignment="1">
      <alignment horizontal="center" vertical="center"/>
    </xf>
    <xf numFmtId="0" fontId="46" fillId="9" borderId="0" xfId="0" applyFont="1" applyFill="1" applyAlignment="1">
      <alignment horizontal="center" vertical="center"/>
    </xf>
    <xf numFmtId="0" fontId="2" fillId="8" borderId="16" xfId="0" applyFont="1" applyFill="1" applyBorder="1" applyAlignment="1">
      <alignment horizontal="center" vertical="center" textRotation="180"/>
    </xf>
    <xf numFmtId="0" fontId="2" fillId="8" borderId="10" xfId="0" applyFont="1" applyFill="1" applyBorder="1" applyAlignment="1">
      <alignment horizontal="center" vertical="center" textRotation="180"/>
    </xf>
    <xf numFmtId="0" fontId="2" fillId="8" borderId="6" xfId="0" applyFont="1" applyFill="1" applyBorder="1" applyAlignment="1">
      <alignment horizontal="center" vertical="center" textRotation="180"/>
    </xf>
    <xf numFmtId="0" fontId="2" fillId="8" borderId="13"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2" fillId="9" borderId="15" xfId="0" applyFont="1" applyFill="1" applyBorder="1" applyAlignment="1">
      <alignment horizontal="right" vertical="center" wrapText="1" indent="3"/>
    </xf>
    <xf numFmtId="0" fontId="2" fillId="9" borderId="14" xfId="0" applyFont="1" applyFill="1" applyBorder="1" applyAlignment="1">
      <alignment horizontal="right" vertical="center" wrapText="1" indent="3"/>
    </xf>
    <xf numFmtId="0" fontId="2" fillId="9" borderId="11" xfId="0" applyFont="1" applyFill="1" applyBorder="1" applyAlignment="1">
      <alignment horizontal="left" vertical="center" wrapText="1" indent="3"/>
    </xf>
    <xf numFmtId="0" fontId="2" fillId="9" borderId="7" xfId="0" applyFont="1" applyFill="1" applyBorder="1" applyAlignment="1">
      <alignment horizontal="left" vertical="center" wrapText="1" indent="3"/>
    </xf>
    <xf numFmtId="0" fontId="2" fillId="9" borderId="13" xfId="0" applyFont="1" applyFill="1" applyBorder="1" applyAlignment="1">
      <alignment horizontal="right" vertical="center" wrapText="1" indent="3"/>
    </xf>
    <xf numFmtId="0" fontId="2" fillId="9" borderId="9" xfId="0" applyFont="1" applyFill="1" applyBorder="1" applyAlignment="1">
      <alignment horizontal="right" vertical="center" wrapText="1" indent="3"/>
    </xf>
    <xf numFmtId="3" fontId="5" fillId="9" borderId="12" xfId="0" applyNumberFormat="1"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7" xfId="0" applyFont="1" applyFill="1" applyBorder="1" applyAlignment="1">
      <alignment horizontal="center" vertical="center" wrapText="1"/>
    </xf>
    <xf numFmtId="3" fontId="5" fillId="9" borderId="8" xfId="0" applyNumberFormat="1" applyFont="1" applyFill="1" applyBorder="1" applyAlignment="1">
      <alignment horizontal="center" vertical="center" wrapText="1"/>
    </xf>
    <xf numFmtId="0" fontId="2" fillId="0" borderId="3" xfId="0" applyFont="1" applyBorder="1" applyAlignment="1">
      <alignment horizontal="right" vertical="center"/>
    </xf>
    <xf numFmtId="0" fontId="1" fillId="0" borderId="1" xfId="0" applyFont="1" applyBorder="1" applyAlignment="1">
      <alignment horizontal="right" vertical="center" wrapText="1"/>
    </xf>
    <xf numFmtId="0" fontId="2" fillId="0" borderId="4" xfId="0" applyFont="1" applyBorder="1" applyAlignment="1">
      <alignment horizontal="right" vertical="center" wrapText="1"/>
    </xf>
    <xf numFmtId="0" fontId="6" fillId="4" borderId="0" xfId="0" applyFont="1" applyFill="1" applyAlignment="1">
      <alignment horizontal="right" vertical="center"/>
    </xf>
    <xf numFmtId="9" fontId="2" fillId="0" borderId="4" xfId="1" applyFont="1" applyBorder="1" applyAlignment="1">
      <alignment horizontal="center" vertical="center" wrapText="1"/>
    </xf>
  </cellXfs>
  <cellStyles count="4">
    <cellStyle name="Comma" xfId="3" builtinId="3"/>
    <cellStyle name="Hyperlink" xfId="2" builtinId="8"/>
    <cellStyle name="Normal" xfId="0" builtinId="0"/>
    <cellStyle name="Percent" xfId="1" builtinId="5"/>
  </cellStyles>
  <dxfs count="2">
    <dxf>
      <font>
        <color rgb="FF9C0006"/>
      </font>
    </dxf>
    <dxf>
      <font>
        <color rgb="FF9C0006"/>
      </font>
    </dxf>
  </dxfs>
  <tableStyles count="0" defaultTableStyle="TableStyleMedium2" defaultPivotStyle="PivotStyleLight16"/>
  <colors>
    <mruColors>
      <color rgb="FFB5A583"/>
      <color rgb="FF1E816F"/>
      <color rgb="FFA39D87"/>
      <color rgb="FF817A65"/>
      <color rgb="FFECEDEB"/>
      <color rgb="FFF6F7F5"/>
      <color rgb="FFE1F1E6"/>
      <color rgb="FF028992"/>
      <color rgb="FF3BA97C"/>
      <color rgb="FFA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187500000000001E-2"/>
          <c:y val="0.10952343076258422"/>
          <c:w val="0.96562499999999996"/>
          <c:h val="0.88928572776778336"/>
        </c:manualLayout>
      </c:layout>
      <c:barChart>
        <c:barDir val="col"/>
        <c:grouping val="clustered"/>
        <c:varyColors val="0"/>
        <c:ser>
          <c:idx val="0"/>
          <c:order val="0"/>
          <c:tx>
            <c:strRef>
              <c:f>[1]Sheet1!$B$1</c:f>
              <c:strCache>
                <c:ptCount val="1"/>
                <c:pt idx="0">
                  <c:v>#REF!</c:v>
                </c:pt>
              </c:strCache>
            </c:strRef>
          </c:tx>
          <c:spPr>
            <a:solidFill>
              <a:schemeClr val="accent1"/>
            </a:solidFill>
            <a:ln>
              <a:noFill/>
            </a:ln>
            <a:effectLst/>
          </c:spPr>
          <c:invertIfNegative val="0"/>
          <c:dPt>
            <c:idx val="0"/>
            <c:invertIfNegative val="0"/>
            <c:bubble3D val="0"/>
            <c:spPr>
              <a:solidFill>
                <a:srgbClr val="0B7F6C"/>
              </a:solidFill>
              <a:ln>
                <a:noFill/>
              </a:ln>
              <a:effectLst/>
            </c:spPr>
            <c:extLst>
              <c:ext xmlns:c16="http://schemas.microsoft.com/office/drawing/2014/chart" uri="{C3380CC4-5D6E-409C-BE32-E72D297353CC}">
                <c16:uniqueId val="{00000001-1880-4FAD-90F3-5FE3AA9CBCD5}"/>
              </c:ext>
            </c:extLst>
          </c:dPt>
          <c:dPt>
            <c:idx val="1"/>
            <c:invertIfNegative val="0"/>
            <c:bubble3D val="0"/>
            <c:spPr>
              <a:solidFill>
                <a:srgbClr val="CCDEDC"/>
              </a:solidFill>
              <a:ln>
                <a:noFill/>
              </a:ln>
              <a:effectLst/>
            </c:spPr>
            <c:extLst>
              <c:ext xmlns:c16="http://schemas.microsoft.com/office/drawing/2014/chart" uri="{C3380CC4-5D6E-409C-BE32-E72D297353CC}">
                <c16:uniqueId val="{00000003-1880-4FAD-90F3-5FE3AA9CBCD5}"/>
              </c:ext>
            </c:extLst>
          </c:dPt>
          <c:dPt>
            <c:idx val="2"/>
            <c:invertIfNegative val="0"/>
            <c:bubble3D val="0"/>
            <c:spPr>
              <a:solidFill>
                <a:srgbClr val="C00000"/>
              </a:solidFill>
              <a:ln>
                <a:noFill/>
              </a:ln>
              <a:effectLst/>
            </c:spPr>
            <c:extLst>
              <c:ext xmlns:c16="http://schemas.microsoft.com/office/drawing/2014/chart" uri="{C3380CC4-5D6E-409C-BE32-E72D297353CC}">
                <c16:uniqueId val="{00000005-1880-4FAD-90F3-5FE3AA9CBCD5}"/>
              </c:ext>
            </c:extLst>
          </c:dPt>
          <c:dLbls>
            <c:dLbl>
              <c:idx val="2"/>
              <c:layout>
                <c:manualLayout>
                  <c:x val="4.4877354677402126E-7"/>
                  <c:y val="0.1101444759417388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C00000"/>
                      </a:solidFill>
                      <a:latin typeface="DIN Next LT Arabic" panose="020B0503020203050203" pitchFamily="34" charset="-78"/>
                      <a:ea typeface="+mn-ea"/>
                      <a:cs typeface="DIN Next LT Arabic" panose="020B0503020203050203" pitchFamily="34" charset="-78"/>
                    </a:defRPr>
                  </a:pPr>
                  <a:endParaRPr lang="ar-SA"/>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80-4FAD-90F3-5FE3AA9CBCD5}"/>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DIN Next LT Arabic" panose="020B0503020203050203" pitchFamily="34" charset="-78"/>
                    <a:ea typeface="+mn-ea"/>
                    <a:cs typeface="DIN Next LT Arabic" panose="020B0503020203050203" pitchFamily="34" charset="-78"/>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[1]Sheet1!$A$2:$A$4</c:f>
              <c:strCache>
                <c:ptCount val="3"/>
                <c:pt idx="0">
                  <c:v>الإيرادات</c:v>
                </c:pt>
                <c:pt idx="1">
                  <c:v>النفقات</c:v>
                </c:pt>
                <c:pt idx="2">
                  <c:v>الفائض/ (العجز)</c:v>
                </c:pt>
              </c:strCache>
            </c:strRef>
          </c:cat>
          <c:val>
            <c:numRef>
              <c:f>[1]Sheet1!$B$2:$B$4</c:f>
              <c:numCache>
                <c:formatCode>#,##0</c:formatCode>
                <c:ptCount val="3"/>
                <c:pt idx="0">
                  <c:v>309208.23589870508</c:v>
                </c:pt>
                <c:pt idx="1">
                  <c:v>339443.21626133</c:v>
                </c:pt>
                <c:pt idx="2" formatCode="_(* #,##0_);_(* \(#,##0\);_(* &quot;-&quot;??_);_(@_)">
                  <c:v>-30234.98036262492</c:v>
                </c:pt>
              </c:numCache>
            </c:numRef>
          </c:val>
          <c:extLst>
            <c:ext xmlns:c16="http://schemas.microsoft.com/office/drawing/2014/chart" uri="{C3380CC4-5D6E-409C-BE32-E72D297353CC}">
              <c16:uniqueId val="{00000006-1880-4FAD-90F3-5FE3AA9CBCD5}"/>
            </c:ext>
          </c:extLst>
        </c:ser>
        <c:dLbls>
          <c:dLblPos val="outEnd"/>
          <c:showLegendKey val="0"/>
          <c:showVal val="1"/>
          <c:showCatName val="0"/>
          <c:showSerName val="0"/>
          <c:showPercent val="0"/>
          <c:showBubbleSize val="0"/>
        </c:dLbls>
        <c:gapWidth val="60"/>
        <c:overlap val="-27"/>
        <c:axId val="889783584"/>
        <c:axId val="889782600"/>
      </c:barChart>
      <c:catAx>
        <c:axId val="889783584"/>
        <c:scaling>
          <c:orientation val="maxMin"/>
        </c:scaling>
        <c:delete val="1"/>
        <c:axPos val="b"/>
        <c:numFmt formatCode="General" sourceLinked="1"/>
        <c:majorTickMark val="none"/>
        <c:minorTickMark val="none"/>
        <c:tickLblPos val="nextTo"/>
        <c:crossAx val="889782600"/>
        <c:crosses val="autoZero"/>
        <c:auto val="1"/>
        <c:lblAlgn val="ctr"/>
        <c:lblOffset val="100"/>
        <c:noMultiLvlLbl val="0"/>
      </c:catAx>
      <c:valAx>
        <c:axId val="889782600"/>
        <c:scaling>
          <c:orientation val="minMax"/>
        </c:scaling>
        <c:delete val="1"/>
        <c:axPos val="r"/>
        <c:numFmt formatCode="#,##0" sourceLinked="1"/>
        <c:majorTickMark val="none"/>
        <c:minorTickMark val="none"/>
        <c:tickLblPos val="nextTo"/>
        <c:crossAx val="8897835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0</xdr:col>
      <xdr:colOff>2980962</xdr:colOff>
      <xdr:row>0</xdr:row>
      <xdr:rowOff>1180965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92668338" y="104775"/>
          <a:ext cx="2904762" cy="1076190"/>
        </a:xfrm>
        <a:prstGeom prst="rect">
          <a:avLst/>
        </a:prstGeom>
      </xdr:spPr>
    </xdr:pic>
    <xdr:clientData/>
  </xdr:twoCellAnchor>
  <xdr:twoCellAnchor editAs="oneCell">
    <xdr:from>
      <xdr:col>1</xdr:col>
      <xdr:colOff>1968500</xdr:colOff>
      <xdr:row>0</xdr:row>
      <xdr:rowOff>0</xdr:rowOff>
    </xdr:from>
    <xdr:to>
      <xdr:col>1</xdr:col>
      <xdr:colOff>4712135</xdr:colOff>
      <xdr:row>0</xdr:row>
      <xdr:rowOff>1314718</xdr:rowOff>
    </xdr:to>
    <xdr:pic>
      <xdr:nvPicPr>
        <xdr:cNvPr id="6" name="Picture 5">
          <a:extLst>
            <a:ext uri="{FF2B5EF4-FFF2-40B4-BE49-F238E27FC236}">
              <a16:creationId xmlns:a16="http://schemas.microsoft.com/office/drawing/2014/main" id="{9BC71E46-BD7E-453B-96CE-5443F27D1E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2539490" y="0"/>
          <a:ext cx="2743635" cy="13147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4</xdr:col>
      <xdr:colOff>164737</xdr:colOff>
      <xdr:row>6</xdr:row>
      <xdr:rowOff>66540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33239263" y="76200"/>
          <a:ext cx="2907937" cy="1076190"/>
        </a:xfrm>
        <a:prstGeom prst="rect">
          <a:avLst/>
        </a:prstGeom>
      </xdr:spPr>
    </xdr:pic>
    <xdr:clientData/>
  </xdr:twoCellAnchor>
  <xdr:twoCellAnchor>
    <xdr:from>
      <xdr:col>9</xdr:col>
      <xdr:colOff>452437</xdr:colOff>
      <xdr:row>8</xdr:row>
      <xdr:rowOff>80599</xdr:rowOff>
    </xdr:from>
    <xdr:to>
      <xdr:col>17</xdr:col>
      <xdr:colOff>175104</xdr:colOff>
      <xdr:row>27</xdr:row>
      <xdr:rowOff>47626</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9938174177" y="1866537"/>
          <a:ext cx="4580417" cy="3348402"/>
        </a:xfrm>
        <a:prstGeom prst="roundRect">
          <a:avLst/>
        </a:prstGeom>
        <a:noFill/>
        <a:ln>
          <a:solidFill>
            <a:srgbClr val="817A6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rtl="1"/>
          <a:endParaRPr lang="ar-SA" sz="1100"/>
        </a:p>
      </xdr:txBody>
    </xdr:sp>
    <xdr:clientData/>
  </xdr:twoCellAnchor>
  <xdr:twoCellAnchor>
    <xdr:from>
      <xdr:col>0</xdr:col>
      <xdr:colOff>437081</xdr:colOff>
      <xdr:row>8</xdr:row>
      <xdr:rowOff>80599</xdr:rowOff>
    </xdr:from>
    <xdr:to>
      <xdr:col>8</xdr:col>
      <xdr:colOff>159748</xdr:colOff>
      <xdr:row>27</xdr:row>
      <xdr:rowOff>47626</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9943654502" y="1866537"/>
          <a:ext cx="4580417" cy="3348402"/>
        </a:xfrm>
        <a:prstGeom prst="roundRect">
          <a:avLst/>
        </a:prstGeom>
        <a:noFill/>
        <a:ln>
          <a:solidFill>
            <a:srgbClr val="817A6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rtl="1"/>
          <a:endParaRPr lang="ar-SA"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1</xdr:col>
      <xdr:colOff>105667</xdr:colOff>
      <xdr:row>0</xdr:row>
      <xdr:rowOff>1200015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8210638" y="123825"/>
          <a:ext cx="2904762" cy="1076190"/>
        </a:xfrm>
        <a:prstGeom prst="rect">
          <a:avLst/>
        </a:prstGeom>
      </xdr:spPr>
    </xdr:pic>
    <xdr:clientData/>
  </xdr:twoCellAnchor>
  <xdr:twoCellAnchor editAs="oneCell">
    <xdr:from>
      <xdr:col>3</xdr:col>
      <xdr:colOff>456678</xdr:colOff>
      <xdr:row>0</xdr:row>
      <xdr:rowOff>1</xdr:rowOff>
    </xdr:from>
    <xdr:to>
      <xdr:col>4</xdr:col>
      <xdr:colOff>1354203</xdr:colOff>
      <xdr:row>1</xdr:row>
      <xdr:rowOff>8786</xdr:rowOff>
    </xdr:to>
    <xdr:pic>
      <xdr:nvPicPr>
        <xdr:cNvPr id="5" name="Picture 4">
          <a:extLst>
            <a:ext uri="{FF2B5EF4-FFF2-40B4-BE49-F238E27FC236}">
              <a16:creationId xmlns:a16="http://schemas.microsoft.com/office/drawing/2014/main" id="{72926FB5-AFE4-4CFE-A399-CBD45B06AE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44767681" y="1"/>
          <a:ext cx="2541566" cy="12222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4</xdr:col>
      <xdr:colOff>390162</xdr:colOff>
      <xdr:row>6</xdr:row>
      <xdr:rowOff>114165</xdr:rowOff>
    </xdr:to>
    <xdr:pic>
      <xdr:nvPicPr>
        <xdr:cNvPr id="2" name="Picture 1">
          <a:extLst>
            <a:ext uri="{FF2B5EF4-FFF2-40B4-BE49-F238E27FC236}">
              <a16:creationId xmlns:a16="http://schemas.microsoft.com/office/drawing/2014/main" id="{5BCF4526-89A1-46D3-BE78-B47AA43363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5454738" y="120650"/>
          <a:ext cx="2831737" cy="1079365"/>
        </a:xfrm>
        <a:prstGeom prst="rect">
          <a:avLst/>
        </a:prstGeom>
      </xdr:spPr>
    </xdr:pic>
    <xdr:clientData/>
  </xdr:twoCellAnchor>
  <xdr:twoCellAnchor>
    <xdr:from>
      <xdr:col>1</xdr:col>
      <xdr:colOff>554830</xdr:colOff>
      <xdr:row>12</xdr:row>
      <xdr:rowOff>124622</xdr:rowOff>
    </xdr:from>
    <xdr:to>
      <xdr:col>15</xdr:col>
      <xdr:colOff>569118</xdr:colOff>
      <xdr:row>34</xdr:row>
      <xdr:rowOff>37340</xdr:rowOff>
    </xdr:to>
    <xdr:grpSp>
      <xdr:nvGrpSpPr>
        <xdr:cNvPr id="3" name="Group 3">
          <a:extLst>
            <a:ext uri="{FF2B5EF4-FFF2-40B4-BE49-F238E27FC236}">
              <a16:creationId xmlns:a16="http://schemas.microsoft.com/office/drawing/2014/main" id="{93A5DBAE-20EC-4D4A-94B3-2926DA0EDA32}"/>
            </a:ext>
          </a:extLst>
        </xdr:cNvPr>
        <xdr:cNvGrpSpPr/>
      </xdr:nvGrpSpPr>
      <xdr:grpSpPr>
        <a:xfrm flipH="1">
          <a:off x="11199234439" y="2915045"/>
          <a:ext cx="9901506" cy="3789795"/>
          <a:chOff x="9937958756" y="3598069"/>
          <a:chExt cx="8777288" cy="4106892"/>
        </a:xfrm>
      </xdr:grpSpPr>
      <xdr:sp macro="" textlink="">
        <xdr:nvSpPr>
          <xdr:cNvPr id="4" name="Rectangle 15">
            <a:extLst>
              <a:ext uri="{FF2B5EF4-FFF2-40B4-BE49-F238E27FC236}">
                <a16:creationId xmlns:a16="http://schemas.microsoft.com/office/drawing/2014/main" id="{ED23E791-0446-1476-BD8B-DABBDED2847E}"/>
              </a:ext>
            </a:extLst>
          </xdr:cNvPr>
          <xdr:cNvSpPr/>
        </xdr:nvSpPr>
        <xdr:spPr>
          <a:xfrm>
            <a:off x="9944153628" y="7350919"/>
            <a:ext cx="1387028" cy="263918"/>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Revenues</a:t>
            </a:r>
          </a:p>
        </xdr:txBody>
      </xdr:sp>
      <xdr:sp macro="" textlink="">
        <xdr:nvSpPr>
          <xdr:cNvPr id="5" name="Rectangle 16">
            <a:extLst>
              <a:ext uri="{FF2B5EF4-FFF2-40B4-BE49-F238E27FC236}">
                <a16:creationId xmlns:a16="http://schemas.microsoft.com/office/drawing/2014/main" id="{A9AAF31A-5033-4639-26D7-52819492C526}"/>
              </a:ext>
            </a:extLst>
          </xdr:cNvPr>
          <xdr:cNvSpPr/>
        </xdr:nvSpPr>
        <xdr:spPr>
          <a:xfrm>
            <a:off x="9941352037" y="7358979"/>
            <a:ext cx="2119803" cy="263918"/>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Expenditures</a:t>
            </a:r>
          </a:p>
        </xdr:txBody>
      </xdr:sp>
      <xdr:sp macro="" textlink="">
        <xdr:nvSpPr>
          <xdr:cNvPr id="6" name="Rectangle 17">
            <a:extLst>
              <a:ext uri="{FF2B5EF4-FFF2-40B4-BE49-F238E27FC236}">
                <a16:creationId xmlns:a16="http://schemas.microsoft.com/office/drawing/2014/main" id="{750818D0-F235-9375-7FEF-E06A574E493A}"/>
              </a:ext>
            </a:extLst>
          </xdr:cNvPr>
          <xdr:cNvSpPr/>
        </xdr:nvSpPr>
        <xdr:spPr>
          <a:xfrm flipH="1">
            <a:off x="9939141999" y="7326524"/>
            <a:ext cx="1574245" cy="281897"/>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Surplus/(Deficit)</a:t>
            </a:r>
          </a:p>
        </xdr:txBody>
      </xdr:sp>
      <xdr:sp macro="" textlink="">
        <xdr:nvSpPr>
          <xdr:cNvPr id="7" name="مستطيل مستدير الزوايا 49">
            <a:extLst>
              <a:ext uri="{FF2B5EF4-FFF2-40B4-BE49-F238E27FC236}">
                <a16:creationId xmlns:a16="http://schemas.microsoft.com/office/drawing/2014/main" id="{379C9A67-72DE-0B6C-350F-ECD0CC2207DD}"/>
              </a:ext>
            </a:extLst>
          </xdr:cNvPr>
          <xdr:cNvSpPr/>
        </xdr:nvSpPr>
        <xdr:spPr>
          <a:xfrm>
            <a:off x="9937958756" y="3598069"/>
            <a:ext cx="8777288" cy="4106892"/>
          </a:xfrm>
          <a:prstGeom prst="roundRect">
            <a:avLst/>
          </a:prstGeom>
          <a:noFill/>
          <a:ln>
            <a:solidFill>
              <a:srgbClr val="0D0D0D">
                <a:alpha val="38824"/>
              </a:srgb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1"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ar-SA" sz="1400" b="0" i="0" u="none" strike="noStrike" kern="1200" cap="none" spc="0" normalizeH="0" baseline="0">
              <a:ln>
                <a:noFill/>
              </a:ln>
              <a:solidFill>
                <a:prstClr val="white"/>
              </a:solidFill>
              <a:effectLst/>
              <a:uLnTx/>
              <a:uFillTx/>
              <a:latin typeface="JF Flat" panose="02000500000000000000" pitchFamily="2" charset="-78"/>
              <a:ea typeface="+mn-ea"/>
              <a:cs typeface="JF Flat" panose="02000500000000000000" pitchFamily="2" charset="-78"/>
            </a:endParaRPr>
          </a:p>
        </xdr:txBody>
      </xdr:sp>
    </xdr:grpSp>
    <xdr:clientData/>
  </xdr:twoCellAnchor>
  <xdr:twoCellAnchor>
    <xdr:from>
      <xdr:col>4</xdr:col>
      <xdr:colOff>15875</xdr:colOff>
      <xdr:row>31</xdr:row>
      <xdr:rowOff>15875</xdr:rowOff>
    </xdr:from>
    <xdr:to>
      <xdr:col>5</xdr:col>
      <xdr:colOff>712342</xdr:colOff>
      <xdr:row>32</xdr:row>
      <xdr:rowOff>107720</xdr:rowOff>
    </xdr:to>
    <xdr:sp macro="" textlink="">
      <xdr:nvSpPr>
        <xdr:cNvPr id="9" name="Rectangle 12">
          <a:extLst>
            <a:ext uri="{FF2B5EF4-FFF2-40B4-BE49-F238E27FC236}">
              <a16:creationId xmlns:a16="http://schemas.microsoft.com/office/drawing/2014/main" id="{2474F516-1B0A-4928-BD76-7F4110BCA390}"/>
            </a:ext>
          </a:extLst>
        </xdr:cNvPr>
        <xdr:cNvSpPr/>
      </xdr:nvSpPr>
      <xdr:spPr>
        <a:xfrm flipH="1">
          <a:off x="9984522958" y="6321425"/>
          <a:ext cx="1309242" cy="269645"/>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ar-SA"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الإيرادات</a:t>
          </a:r>
          <a:endParaRPr kumimoji="0" lang="en-US"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7</xdr:col>
      <xdr:colOff>237593</xdr:colOff>
      <xdr:row>31</xdr:row>
      <xdr:rowOff>15875</xdr:rowOff>
    </xdr:from>
    <xdr:to>
      <xdr:col>10</xdr:col>
      <xdr:colOff>27734</xdr:colOff>
      <xdr:row>32</xdr:row>
      <xdr:rowOff>107720</xdr:rowOff>
    </xdr:to>
    <xdr:sp macro="" textlink="">
      <xdr:nvSpPr>
        <xdr:cNvPr id="10" name="Rectangle 13">
          <a:extLst>
            <a:ext uri="{FF2B5EF4-FFF2-40B4-BE49-F238E27FC236}">
              <a16:creationId xmlns:a16="http://schemas.microsoft.com/office/drawing/2014/main" id="{5382C28C-8774-4D11-8451-47427464AC7E}"/>
            </a:ext>
          </a:extLst>
        </xdr:cNvPr>
        <xdr:cNvSpPr/>
      </xdr:nvSpPr>
      <xdr:spPr>
        <a:xfrm flipH="1">
          <a:off x="9981864291" y="6321425"/>
          <a:ext cx="1618941" cy="269645"/>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ar-SA"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المصروفات</a:t>
          </a:r>
          <a:endParaRPr kumimoji="0" lang="en-US"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11</xdr:col>
      <xdr:colOff>292510</xdr:colOff>
      <xdr:row>31</xdr:row>
      <xdr:rowOff>15875</xdr:rowOff>
    </xdr:from>
    <xdr:to>
      <xdr:col>14</xdr:col>
      <xdr:colOff>94195</xdr:colOff>
      <xdr:row>32</xdr:row>
      <xdr:rowOff>107720</xdr:rowOff>
    </xdr:to>
    <xdr:sp macro="" textlink="">
      <xdr:nvSpPr>
        <xdr:cNvPr id="11" name="Rectangle 14">
          <a:extLst>
            <a:ext uri="{FF2B5EF4-FFF2-40B4-BE49-F238E27FC236}">
              <a16:creationId xmlns:a16="http://schemas.microsoft.com/office/drawing/2014/main" id="{AD4F70F9-2F6C-483D-A143-C4D22AAFFF9E}"/>
            </a:ext>
          </a:extLst>
        </xdr:cNvPr>
        <xdr:cNvSpPr/>
      </xdr:nvSpPr>
      <xdr:spPr>
        <a:xfrm flipH="1">
          <a:off x="9979362605" y="6321425"/>
          <a:ext cx="1627310" cy="269645"/>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fontAlgn="ctr"/>
          <a:r>
            <a:rPr lang="ar-SA" sz="1600">
              <a:solidFill>
                <a:prstClr val="black">
                  <a:lumMod val="65000"/>
                  <a:lumOff val="35000"/>
                </a:prstClr>
              </a:solidFill>
              <a:latin typeface="DIN Next LT Arabic" panose="020B0503020203050203" pitchFamily="34" charset="-78"/>
              <a:cs typeface="DIN Next LT Arabic" panose="020B0503020203050203" pitchFamily="34" charset="-78"/>
            </a:rPr>
            <a:t>الفائض/ (العجز)</a:t>
          </a:r>
        </a:p>
      </xdr:txBody>
    </xdr:sp>
    <xdr:clientData/>
  </xdr:twoCellAnchor>
  <xdr:twoCellAnchor>
    <xdr:from>
      <xdr:col>1</xdr:col>
      <xdr:colOff>554830</xdr:colOff>
      <xdr:row>44</xdr:row>
      <xdr:rowOff>124622</xdr:rowOff>
    </xdr:from>
    <xdr:to>
      <xdr:col>15</xdr:col>
      <xdr:colOff>569118</xdr:colOff>
      <xdr:row>66</xdr:row>
      <xdr:rowOff>37340</xdr:rowOff>
    </xdr:to>
    <xdr:grpSp>
      <xdr:nvGrpSpPr>
        <xdr:cNvPr id="13" name="Group 19">
          <a:extLst>
            <a:ext uri="{FF2B5EF4-FFF2-40B4-BE49-F238E27FC236}">
              <a16:creationId xmlns:a16="http://schemas.microsoft.com/office/drawing/2014/main" id="{1F4E8D58-3613-4B2A-B996-D01D3258B4EA}"/>
            </a:ext>
          </a:extLst>
        </xdr:cNvPr>
        <xdr:cNvGrpSpPr/>
      </xdr:nvGrpSpPr>
      <xdr:grpSpPr>
        <a:xfrm>
          <a:off x="11199234439" y="9676453"/>
          <a:ext cx="9901506" cy="3749549"/>
          <a:chOff x="9937958756" y="3598069"/>
          <a:chExt cx="8777288" cy="4106892"/>
        </a:xfrm>
      </xdr:grpSpPr>
      <xdr:sp macro="" textlink="">
        <xdr:nvSpPr>
          <xdr:cNvPr id="14" name="Rectangle 20">
            <a:extLst>
              <a:ext uri="{FF2B5EF4-FFF2-40B4-BE49-F238E27FC236}">
                <a16:creationId xmlns:a16="http://schemas.microsoft.com/office/drawing/2014/main" id="{656D3166-C052-107C-C4D7-518EE73792DB}"/>
              </a:ext>
            </a:extLst>
          </xdr:cNvPr>
          <xdr:cNvSpPr/>
        </xdr:nvSpPr>
        <xdr:spPr>
          <a:xfrm>
            <a:off x="9943884832" y="7351218"/>
            <a:ext cx="1387028" cy="263694"/>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Revenues</a:t>
            </a:r>
          </a:p>
        </xdr:txBody>
      </xdr:sp>
      <xdr:sp macro="" textlink="">
        <xdr:nvSpPr>
          <xdr:cNvPr id="15" name="Rectangle 21">
            <a:extLst>
              <a:ext uri="{FF2B5EF4-FFF2-40B4-BE49-F238E27FC236}">
                <a16:creationId xmlns:a16="http://schemas.microsoft.com/office/drawing/2014/main" id="{1F156346-729C-C3DF-DC98-E91E662C0511}"/>
              </a:ext>
            </a:extLst>
          </xdr:cNvPr>
          <xdr:cNvSpPr/>
        </xdr:nvSpPr>
        <xdr:spPr>
          <a:xfrm>
            <a:off x="9941405796" y="7344297"/>
            <a:ext cx="2119803" cy="263918"/>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Expenditures</a:t>
            </a:r>
          </a:p>
        </xdr:txBody>
      </xdr:sp>
      <xdr:sp macro="" textlink="">
        <xdr:nvSpPr>
          <xdr:cNvPr id="16" name="Rectangle 22">
            <a:extLst>
              <a:ext uri="{FF2B5EF4-FFF2-40B4-BE49-F238E27FC236}">
                <a16:creationId xmlns:a16="http://schemas.microsoft.com/office/drawing/2014/main" id="{B2791902-F96C-B7D7-D2FA-345E8C80C403}"/>
              </a:ext>
            </a:extLst>
          </xdr:cNvPr>
          <xdr:cNvSpPr/>
        </xdr:nvSpPr>
        <xdr:spPr>
          <a:xfrm flipH="1">
            <a:off x="9939659987" y="7326524"/>
            <a:ext cx="1574245" cy="281897"/>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en-US" sz="14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Surplus/(Deficit)</a:t>
            </a:r>
          </a:p>
        </xdr:txBody>
      </xdr:sp>
      <xdr:sp macro="" textlink="">
        <xdr:nvSpPr>
          <xdr:cNvPr id="17" name="مستطيل مستدير الزوايا 49">
            <a:extLst>
              <a:ext uri="{FF2B5EF4-FFF2-40B4-BE49-F238E27FC236}">
                <a16:creationId xmlns:a16="http://schemas.microsoft.com/office/drawing/2014/main" id="{83C2CE24-4793-0092-DEF5-2F26A8227ED5}"/>
              </a:ext>
            </a:extLst>
          </xdr:cNvPr>
          <xdr:cNvSpPr/>
        </xdr:nvSpPr>
        <xdr:spPr>
          <a:xfrm>
            <a:off x="9937958756" y="3598069"/>
            <a:ext cx="8777288" cy="4106892"/>
          </a:xfrm>
          <a:prstGeom prst="roundRect">
            <a:avLst/>
          </a:prstGeom>
          <a:noFill/>
          <a:ln>
            <a:solidFill>
              <a:srgbClr val="0D0D0D">
                <a:alpha val="38824"/>
              </a:srgb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1"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0" lang="ar-SA" sz="1400" b="0" i="0" u="none" strike="noStrike" kern="1200" cap="none" spc="0" normalizeH="0" baseline="0">
              <a:ln>
                <a:noFill/>
              </a:ln>
              <a:solidFill>
                <a:prstClr val="white"/>
              </a:solidFill>
              <a:effectLst/>
              <a:uLnTx/>
              <a:uFillTx/>
              <a:latin typeface="JF Flat" panose="02000500000000000000" pitchFamily="2" charset="-78"/>
              <a:ea typeface="+mn-ea"/>
              <a:cs typeface="JF Flat" panose="02000500000000000000" pitchFamily="2" charset="-78"/>
            </a:endParaRPr>
          </a:p>
        </xdr:txBody>
      </xdr:sp>
    </xdr:grpSp>
    <xdr:clientData/>
  </xdr:twoCellAnchor>
  <xdr:twoCellAnchor>
    <xdr:from>
      <xdr:col>4</xdr:col>
      <xdr:colOff>353455</xdr:colOff>
      <xdr:row>62</xdr:row>
      <xdr:rowOff>154361</xdr:rowOff>
    </xdr:from>
    <xdr:to>
      <xdr:col>6</xdr:col>
      <xdr:colOff>129586</xdr:colOff>
      <xdr:row>64</xdr:row>
      <xdr:rowOff>66303</xdr:rowOff>
    </xdr:to>
    <xdr:sp macro="" textlink="">
      <xdr:nvSpPr>
        <xdr:cNvPr id="18" name="Rectangle 25">
          <a:extLst>
            <a:ext uri="{FF2B5EF4-FFF2-40B4-BE49-F238E27FC236}">
              <a16:creationId xmlns:a16="http://schemas.microsoft.com/office/drawing/2014/main" id="{7508EA96-6FD3-46D6-96E5-E53EC5DDA99E}"/>
            </a:ext>
          </a:extLst>
        </xdr:cNvPr>
        <xdr:cNvSpPr/>
      </xdr:nvSpPr>
      <xdr:spPr>
        <a:xfrm>
          <a:off x="9887544851" y="12832002"/>
          <a:ext cx="1278666" cy="260745"/>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ar-SA"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الإيرادات</a:t>
          </a:r>
          <a:endParaRPr kumimoji="0" lang="en-US"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7</xdr:col>
      <xdr:colOff>131949</xdr:colOff>
      <xdr:row>62</xdr:row>
      <xdr:rowOff>140946</xdr:rowOff>
    </xdr:from>
    <xdr:to>
      <xdr:col>9</xdr:col>
      <xdr:colOff>526794</xdr:colOff>
      <xdr:row>64</xdr:row>
      <xdr:rowOff>46538</xdr:rowOff>
    </xdr:to>
    <xdr:sp macro="" textlink="">
      <xdr:nvSpPr>
        <xdr:cNvPr id="19" name="Rectangle 26">
          <a:extLst>
            <a:ext uri="{FF2B5EF4-FFF2-40B4-BE49-F238E27FC236}">
              <a16:creationId xmlns:a16="http://schemas.microsoft.com/office/drawing/2014/main" id="{FFCDD2E6-0EF5-46F4-BA49-76C779DBC720}"/>
            </a:ext>
          </a:extLst>
        </xdr:cNvPr>
        <xdr:cNvSpPr/>
      </xdr:nvSpPr>
      <xdr:spPr>
        <a:xfrm>
          <a:off x="9885336552" y="12818587"/>
          <a:ext cx="1602239" cy="254395"/>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0" algn="ctr" defTabSz="914400" rtl="1" eaLnBrk="1" fontAlgn="auto" latinLnBrk="0" hangingPunct="1">
            <a:lnSpc>
              <a:spcPct val="100000"/>
            </a:lnSpc>
            <a:spcBef>
              <a:spcPts val="0"/>
            </a:spcBef>
            <a:spcAft>
              <a:spcPts val="0"/>
            </a:spcAft>
            <a:buClr>
              <a:srgbClr val="339966"/>
            </a:buClr>
            <a:buSzTx/>
            <a:buFontTx/>
            <a:buNone/>
            <a:tabLst/>
            <a:defRPr/>
          </a:pPr>
          <a:r>
            <a:rPr kumimoji="0" lang="ar-SA"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rPr>
            <a:t>المصروفات</a:t>
          </a:r>
          <a:endParaRPr kumimoji="0" lang="en-US" sz="1600" b="0" i="0" u="none" strike="noStrike" kern="1200" cap="none" spc="0" normalizeH="0" baseline="0">
            <a:ln>
              <a:noFill/>
            </a:ln>
            <a:solidFill>
              <a:prstClr val="black">
                <a:lumMod val="65000"/>
                <a:lumOff val="35000"/>
              </a:prstClr>
            </a:solidFill>
            <a:effectLst/>
            <a:uLnTx/>
            <a:uFillTx/>
            <a:latin typeface="DIN Next LT Arabic" panose="020B0503020203050203" pitchFamily="34" charset="-78"/>
            <a:ea typeface="+mn-ea"/>
            <a:cs typeface="DIN Next LT Arabic" panose="020B0503020203050203" pitchFamily="34" charset="-78"/>
          </a:endParaRPr>
        </a:p>
      </xdr:txBody>
    </xdr:sp>
    <xdr:clientData/>
  </xdr:twoCellAnchor>
  <xdr:twoCellAnchor>
    <xdr:from>
      <xdr:col>10</xdr:col>
      <xdr:colOff>353526</xdr:colOff>
      <xdr:row>62</xdr:row>
      <xdr:rowOff>137771</xdr:rowOff>
    </xdr:from>
    <xdr:to>
      <xdr:col>13</xdr:col>
      <xdr:colOff>135167</xdr:colOff>
      <xdr:row>64</xdr:row>
      <xdr:rowOff>52888</xdr:rowOff>
    </xdr:to>
    <xdr:sp macro="" textlink="">
      <xdr:nvSpPr>
        <xdr:cNvPr id="20" name="Rectangle 27">
          <a:extLst>
            <a:ext uri="{FF2B5EF4-FFF2-40B4-BE49-F238E27FC236}">
              <a16:creationId xmlns:a16="http://schemas.microsoft.com/office/drawing/2014/main" id="{EC442855-EAB3-44C2-A34F-35CC72C58080}"/>
            </a:ext>
          </a:extLst>
        </xdr:cNvPr>
        <xdr:cNvSpPr/>
      </xdr:nvSpPr>
      <xdr:spPr>
        <a:xfrm>
          <a:off x="9883313390" y="12815412"/>
          <a:ext cx="1592732" cy="263920"/>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0" fontAlgn="ctr"/>
          <a:r>
            <a:rPr lang="ar-SA" sz="1600">
              <a:solidFill>
                <a:prstClr val="black">
                  <a:lumMod val="65000"/>
                  <a:lumOff val="35000"/>
                </a:prstClr>
              </a:solidFill>
              <a:latin typeface="DIN Next LT Arabic" panose="020B0503020203050203" pitchFamily="34" charset="-78"/>
              <a:cs typeface="DIN Next LT Arabic" panose="020B0503020203050203" pitchFamily="34" charset="-78"/>
            </a:rPr>
            <a:t>الفائض/ (العجز)</a:t>
          </a:r>
        </a:p>
      </xdr:txBody>
    </xdr:sp>
    <xdr:clientData/>
  </xdr:twoCellAnchor>
  <xdr:twoCellAnchor>
    <xdr:from>
      <xdr:col>4</xdr:col>
      <xdr:colOff>40843</xdr:colOff>
      <xdr:row>60</xdr:row>
      <xdr:rowOff>173493</xdr:rowOff>
    </xdr:from>
    <xdr:to>
      <xdr:col>13</xdr:col>
      <xdr:colOff>504347</xdr:colOff>
      <xdr:row>60</xdr:row>
      <xdr:rowOff>173493</xdr:rowOff>
    </xdr:to>
    <xdr:cxnSp macro="">
      <xdr:nvCxnSpPr>
        <xdr:cNvPr id="22" name="Straight Connector 28">
          <a:extLst>
            <a:ext uri="{FF2B5EF4-FFF2-40B4-BE49-F238E27FC236}">
              <a16:creationId xmlns:a16="http://schemas.microsoft.com/office/drawing/2014/main" id="{ADF46D02-F58F-4F50-AC88-8D2E11C8A541}"/>
            </a:ext>
          </a:extLst>
        </xdr:cNvPr>
        <xdr:cNvCxnSpPr/>
      </xdr:nvCxnSpPr>
      <xdr:spPr>
        <a:xfrm>
          <a:off x="9979558878" y="12851268"/>
          <a:ext cx="6248354" cy="0"/>
        </a:xfrm>
        <a:prstGeom prst="line">
          <a:avLst/>
        </a:prstGeom>
        <a:ln w="317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12</xdr:col>
      <xdr:colOff>593647</xdr:colOff>
      <xdr:row>1</xdr:row>
      <xdr:rowOff>40248</xdr:rowOff>
    </xdr:from>
    <xdr:to>
      <xdr:col>17</xdr:col>
      <xdr:colOff>53661</xdr:colOff>
      <xdr:row>8</xdr:row>
      <xdr:rowOff>134156</xdr:rowOff>
    </xdr:to>
    <xdr:pic>
      <xdr:nvPicPr>
        <xdr:cNvPr id="24" name="Picture 23">
          <a:extLst>
            <a:ext uri="{FF2B5EF4-FFF2-40B4-BE49-F238E27FC236}">
              <a16:creationId xmlns:a16="http://schemas.microsoft.com/office/drawing/2014/main" id="{24429830-9806-4CA7-B69B-DD5899AED9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80711797" y="214649"/>
          <a:ext cx="2746810" cy="1314718"/>
        </a:xfrm>
        <a:prstGeom prst="rect">
          <a:avLst/>
        </a:prstGeom>
      </xdr:spPr>
    </xdr:pic>
    <xdr:clientData/>
  </xdr:twoCellAnchor>
  <xdr:twoCellAnchor editAs="oneCell">
    <xdr:from>
      <xdr:col>3</xdr:col>
      <xdr:colOff>423664</xdr:colOff>
      <xdr:row>44</xdr:row>
      <xdr:rowOff>134155</xdr:rowOff>
    </xdr:from>
    <xdr:to>
      <xdr:col>13</xdr:col>
      <xdr:colOff>234328</xdr:colOff>
      <xdr:row>63</xdr:row>
      <xdr:rowOff>64135</xdr:rowOff>
    </xdr:to>
    <xdr:pic>
      <xdr:nvPicPr>
        <xdr:cNvPr id="25" name="صورة 24">
          <a:extLst>
            <a:ext uri="{FF2B5EF4-FFF2-40B4-BE49-F238E27FC236}">
              <a16:creationId xmlns:a16="http://schemas.microsoft.com/office/drawing/2014/main" id="{84801CBB-2B43-498D-ABB0-D5A529974C41}"/>
            </a:ext>
          </a:extLst>
        </xdr:cNvPr>
        <xdr:cNvPicPr>
          <a:picLocks noChangeAspect="1"/>
        </xdr:cNvPicPr>
      </xdr:nvPicPr>
      <xdr:blipFill>
        <a:blip xmlns:r="http://schemas.openxmlformats.org/officeDocument/2006/relationships" r:embed="rId3"/>
        <a:stretch>
          <a:fillRect/>
        </a:stretch>
      </xdr:blipFill>
      <xdr:spPr>
        <a:xfrm>
          <a:off x="9883214229" y="9672570"/>
          <a:ext cx="6142776" cy="3243607"/>
        </a:xfrm>
        <a:prstGeom prst="rect">
          <a:avLst/>
        </a:prstGeom>
      </xdr:spPr>
    </xdr:pic>
    <xdr:clientData/>
  </xdr:twoCellAnchor>
  <xdr:twoCellAnchor>
    <xdr:from>
      <xdr:col>3</xdr:col>
      <xdr:colOff>496372</xdr:colOff>
      <xdr:row>13</xdr:row>
      <xdr:rowOff>26831</xdr:rowOff>
    </xdr:from>
    <xdr:to>
      <xdr:col>14</xdr:col>
      <xdr:colOff>248624</xdr:colOff>
      <xdr:row>31</xdr:row>
      <xdr:rowOff>119276</xdr:rowOff>
    </xdr:to>
    <xdr:grpSp>
      <xdr:nvGrpSpPr>
        <xdr:cNvPr id="26" name="Group 25">
          <a:extLst>
            <a:ext uri="{FF2B5EF4-FFF2-40B4-BE49-F238E27FC236}">
              <a16:creationId xmlns:a16="http://schemas.microsoft.com/office/drawing/2014/main" id="{1CC6B009-C1B3-4BB5-8FB7-97B8096001B4}"/>
            </a:ext>
          </a:extLst>
        </xdr:cNvPr>
        <xdr:cNvGrpSpPr/>
      </xdr:nvGrpSpPr>
      <xdr:grpSpPr>
        <a:xfrm>
          <a:off x="11200239123" y="2991655"/>
          <a:ext cx="7586900" cy="3271917"/>
          <a:chOff x="2627790" y="2660161"/>
          <a:chExt cx="6684886" cy="3289271"/>
        </a:xfrm>
      </xdr:grpSpPr>
      <xdr:graphicFrame macro="">
        <xdr:nvGraphicFramePr>
          <xdr:cNvPr id="27" name="Chart 26">
            <a:extLst>
              <a:ext uri="{FF2B5EF4-FFF2-40B4-BE49-F238E27FC236}">
                <a16:creationId xmlns:a16="http://schemas.microsoft.com/office/drawing/2014/main" id="{83965516-CF87-41C3-BA4B-EFDDADAB6EE6}"/>
              </a:ext>
            </a:extLst>
          </xdr:cNvPr>
          <xdr:cNvGraphicFramePr/>
        </xdr:nvGraphicFramePr>
        <xdr:xfrm>
          <a:off x="2627790" y="2660161"/>
          <a:ext cx="6684886" cy="3289271"/>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28" name="Straight Connector 27">
            <a:extLst>
              <a:ext uri="{FF2B5EF4-FFF2-40B4-BE49-F238E27FC236}">
                <a16:creationId xmlns:a16="http://schemas.microsoft.com/office/drawing/2014/main" id="{A2F4909B-8EB3-498C-8572-E4651AFA5E90}"/>
              </a:ext>
            </a:extLst>
          </xdr:cNvPr>
          <xdr:cNvCxnSpPr/>
        </xdr:nvCxnSpPr>
        <xdr:spPr>
          <a:xfrm>
            <a:off x="2945310" y="5615926"/>
            <a:ext cx="6035040" cy="0"/>
          </a:xfrm>
          <a:prstGeom prst="line">
            <a:avLst/>
          </a:prstGeom>
          <a:ln w="19050">
            <a:no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160986</xdr:colOff>
      <xdr:row>29</xdr:row>
      <xdr:rowOff>134154</xdr:rowOff>
    </xdr:from>
    <xdr:to>
      <xdr:col>14</xdr:col>
      <xdr:colOff>20793</xdr:colOff>
      <xdr:row>29</xdr:row>
      <xdr:rowOff>134154</xdr:rowOff>
    </xdr:to>
    <xdr:cxnSp macro="">
      <xdr:nvCxnSpPr>
        <xdr:cNvPr id="29" name="Straight Connector 28">
          <a:extLst>
            <a:ext uri="{FF2B5EF4-FFF2-40B4-BE49-F238E27FC236}">
              <a16:creationId xmlns:a16="http://schemas.microsoft.com/office/drawing/2014/main" id="{0A82A531-6125-4136-91A7-ED5EF1A19C3A}"/>
            </a:ext>
          </a:extLst>
        </xdr:cNvPr>
        <xdr:cNvCxnSpPr/>
      </xdr:nvCxnSpPr>
      <xdr:spPr>
        <a:xfrm>
          <a:off x="9882824067" y="5902816"/>
          <a:ext cx="6191919" cy="0"/>
        </a:xfrm>
        <a:prstGeom prst="line">
          <a:avLst/>
        </a:prstGeom>
        <a:ln w="317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47625</xdr:rowOff>
    </xdr:from>
    <xdr:ext cx="3314337" cy="1076190"/>
    <xdr:pic>
      <xdr:nvPicPr>
        <xdr:cNvPr id="2" name="Picture 1">
          <a:extLst>
            <a:ext uri="{FF2B5EF4-FFF2-40B4-BE49-F238E27FC236}">
              <a16:creationId xmlns:a16="http://schemas.microsoft.com/office/drawing/2014/main" id="{6F33A26C-CD63-451D-A4AD-564406A71D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4372063" y="47625"/>
          <a:ext cx="3314337" cy="1076190"/>
        </a:xfrm>
        <a:prstGeom prst="rect">
          <a:avLst/>
        </a:prstGeom>
      </xdr:spPr>
    </xdr:pic>
    <xdr:clientData/>
  </xdr:oneCellAnchor>
  <xdr:twoCellAnchor>
    <xdr:from>
      <xdr:col>0</xdr:col>
      <xdr:colOff>0</xdr:colOff>
      <xdr:row>2</xdr:row>
      <xdr:rowOff>438150</xdr:rowOff>
    </xdr:from>
    <xdr:to>
      <xdr:col>0</xdr:col>
      <xdr:colOff>981073</xdr:colOff>
      <xdr:row>3</xdr:row>
      <xdr:rowOff>121739</xdr:rowOff>
    </xdr:to>
    <xdr:sp macro="" textlink="">
      <xdr:nvSpPr>
        <xdr:cNvPr id="3" name="Rectangle 2">
          <a:extLst>
            <a:ext uri="{FF2B5EF4-FFF2-40B4-BE49-F238E27FC236}">
              <a16:creationId xmlns:a16="http://schemas.microsoft.com/office/drawing/2014/main" id="{CF81533F-D187-4EC7-BEA9-A362EF99EB3B}"/>
            </a:ext>
          </a:extLst>
        </xdr:cNvPr>
        <xdr:cNvSpPr/>
      </xdr:nvSpPr>
      <xdr:spPr>
        <a:xfrm>
          <a:off x="9987078707" y="544830"/>
          <a:ext cx="607693" cy="125549"/>
        </a:xfrm>
        <a:prstGeom prst="rect">
          <a:avLst/>
        </a:prstGeom>
        <a:ln>
          <a:noFill/>
        </a:ln>
      </xdr:spPr>
      <xdr:txBody>
        <a:bodyPr wrap="square" lIns="155160" tIns="0" rIns="0" bIns="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139" marR="0" lvl="1" indent="1588" algn="l" defTabSz="912813" rtl="1" eaLnBrk="1" fontAlgn="base" latinLnBrk="0" hangingPunct="1">
            <a:lnSpc>
              <a:spcPct val="100000"/>
            </a:lnSpc>
            <a:spcBef>
              <a:spcPct val="0"/>
            </a:spcBef>
            <a:spcAft>
              <a:spcPct val="0"/>
            </a:spcAft>
            <a:buClr>
              <a:srgbClr val="339966"/>
            </a:buClr>
            <a:buSzTx/>
            <a:buFontTx/>
            <a:buNone/>
            <a:tabLst/>
            <a:defRPr/>
          </a:pPr>
          <a:endParaRPr kumimoji="0" lang="en-US" sz="1050" b="0" i="0" u="none" strike="noStrike" kern="1200" cap="none" spc="0" normalizeH="0" baseline="0">
            <a:ln>
              <a:noFill/>
            </a:ln>
            <a:solidFill>
              <a:prstClr val="black">
                <a:lumMod val="75000"/>
                <a:lumOff val="25000"/>
              </a:prstClr>
            </a:solidFill>
            <a:effectLst/>
            <a:uLnTx/>
            <a:uFillTx/>
            <a:latin typeface="DIN Next LT Arabic" panose="020B0503020203050203" pitchFamily="34" charset="-78"/>
            <a:ea typeface="MS PGothic" pitchFamily="34" charset="-128"/>
            <a:cs typeface="DIN Next LT Arabic" panose="020B0503020203050203" pitchFamily="34" charset="-78"/>
          </a:endParaRPr>
        </a:p>
      </xdr:txBody>
    </xdr:sp>
    <xdr:clientData/>
  </xdr:twoCellAnchor>
  <xdr:twoCellAnchor editAs="oneCell">
    <xdr:from>
      <xdr:col>5</xdr:col>
      <xdr:colOff>484908</xdr:colOff>
      <xdr:row>0</xdr:row>
      <xdr:rowOff>0</xdr:rowOff>
    </xdr:from>
    <xdr:to>
      <xdr:col>6</xdr:col>
      <xdr:colOff>52966</xdr:colOff>
      <xdr:row>1</xdr:row>
      <xdr:rowOff>105620</xdr:rowOff>
    </xdr:to>
    <xdr:pic>
      <xdr:nvPicPr>
        <xdr:cNvPr id="6" name="Picture 5">
          <a:extLst>
            <a:ext uri="{FF2B5EF4-FFF2-40B4-BE49-F238E27FC236}">
              <a16:creationId xmlns:a16="http://schemas.microsoft.com/office/drawing/2014/main" id="{6F8C5A6E-BE53-45F8-99D7-19A2336E69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27248397" y="0"/>
          <a:ext cx="2737285" cy="13178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95250</xdr:colOff>
      <xdr:row>0</xdr:row>
      <xdr:rowOff>123825</xdr:rowOff>
    </xdr:from>
    <xdr:ext cx="3133362" cy="1069840"/>
    <xdr:pic>
      <xdr:nvPicPr>
        <xdr:cNvPr id="2" name="Picture 1">
          <a:extLst>
            <a:ext uri="{FF2B5EF4-FFF2-40B4-BE49-F238E27FC236}">
              <a16:creationId xmlns:a16="http://schemas.microsoft.com/office/drawing/2014/main" id="{84913F3D-B431-443E-A5E6-D8889FCC90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4457788" y="120650"/>
          <a:ext cx="3133362" cy="1069840"/>
        </a:xfrm>
        <a:prstGeom prst="rect">
          <a:avLst/>
        </a:prstGeom>
      </xdr:spPr>
    </xdr:pic>
    <xdr:clientData/>
  </xdr:oneCellAnchor>
  <xdr:twoCellAnchor editAs="oneCell">
    <xdr:from>
      <xdr:col>4</xdr:col>
      <xdr:colOff>1310967</xdr:colOff>
      <xdr:row>0</xdr:row>
      <xdr:rowOff>0</xdr:rowOff>
    </xdr:from>
    <xdr:to>
      <xdr:col>6</xdr:col>
      <xdr:colOff>36588</xdr:colOff>
      <xdr:row>1</xdr:row>
      <xdr:rowOff>92753</xdr:rowOff>
    </xdr:to>
    <xdr:pic>
      <xdr:nvPicPr>
        <xdr:cNvPr id="4" name="Picture 3">
          <a:extLst>
            <a:ext uri="{FF2B5EF4-FFF2-40B4-BE49-F238E27FC236}">
              <a16:creationId xmlns:a16="http://schemas.microsoft.com/office/drawing/2014/main" id="{51BFA875-6456-4D12-8C16-F8D4C9741F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67028089" y="0"/>
          <a:ext cx="2740460" cy="13115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95250</xdr:colOff>
      <xdr:row>0</xdr:row>
      <xdr:rowOff>123825</xdr:rowOff>
    </xdr:from>
    <xdr:ext cx="2904762" cy="1076190"/>
    <xdr:pic>
      <xdr:nvPicPr>
        <xdr:cNvPr id="2" name="Picture 1">
          <a:extLst>
            <a:ext uri="{FF2B5EF4-FFF2-40B4-BE49-F238E27FC236}">
              <a16:creationId xmlns:a16="http://schemas.microsoft.com/office/drawing/2014/main" id="{A150044A-D0AD-46EF-A56D-0C071F6A01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4686388" y="120650"/>
          <a:ext cx="2904762" cy="1076190"/>
        </a:xfrm>
        <a:prstGeom prst="rect">
          <a:avLst/>
        </a:prstGeom>
      </xdr:spPr>
    </xdr:pic>
    <xdr:clientData/>
  </xdr:oneCellAnchor>
  <xdr:twoCellAnchor editAs="oneCell">
    <xdr:from>
      <xdr:col>5</xdr:col>
      <xdr:colOff>598714</xdr:colOff>
      <xdr:row>0</xdr:row>
      <xdr:rowOff>0</xdr:rowOff>
    </xdr:from>
    <xdr:to>
      <xdr:col>6</xdr:col>
      <xdr:colOff>59852</xdr:colOff>
      <xdr:row>1</xdr:row>
      <xdr:rowOff>86900</xdr:rowOff>
    </xdr:to>
    <xdr:pic>
      <xdr:nvPicPr>
        <xdr:cNvPr id="4" name="Picture 3">
          <a:extLst>
            <a:ext uri="{FF2B5EF4-FFF2-40B4-BE49-F238E27FC236}">
              <a16:creationId xmlns:a16="http://schemas.microsoft.com/office/drawing/2014/main" id="{E0CF18EE-DEFF-4ADB-88EA-7341C5D0B4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28540505" y="0"/>
          <a:ext cx="2740460" cy="13147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3003187</xdr:colOff>
      <xdr:row>0</xdr:row>
      <xdr:rowOff>1200015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95582988" y="123825"/>
          <a:ext cx="2904762" cy="1076190"/>
        </a:xfrm>
        <a:prstGeom prst="rect">
          <a:avLst/>
        </a:prstGeom>
      </xdr:spPr>
    </xdr:pic>
    <xdr:clientData/>
  </xdr:twoCellAnchor>
  <xdr:twoCellAnchor editAs="oneCell">
    <xdr:from>
      <xdr:col>2</xdr:col>
      <xdr:colOff>1521526</xdr:colOff>
      <xdr:row>0</xdr:row>
      <xdr:rowOff>0</xdr:rowOff>
    </xdr:from>
    <xdr:to>
      <xdr:col>3</xdr:col>
      <xdr:colOff>19031</xdr:colOff>
      <xdr:row>1</xdr:row>
      <xdr:rowOff>86900</xdr:rowOff>
    </xdr:to>
    <xdr:pic>
      <xdr:nvPicPr>
        <xdr:cNvPr id="5" name="Picture 4">
          <a:extLst>
            <a:ext uri="{FF2B5EF4-FFF2-40B4-BE49-F238E27FC236}">
              <a16:creationId xmlns:a16="http://schemas.microsoft.com/office/drawing/2014/main" id="{998ACE16-8FC9-47A0-AF8C-E66AB4E454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29100741" y="0"/>
          <a:ext cx="2740460" cy="13115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95250</xdr:colOff>
      <xdr:row>0</xdr:row>
      <xdr:rowOff>123825</xdr:rowOff>
    </xdr:from>
    <xdr:ext cx="2917815" cy="1076190"/>
    <xdr:pic>
      <xdr:nvPicPr>
        <xdr:cNvPr id="2" name="Picture 1">
          <a:extLst>
            <a:ext uri="{FF2B5EF4-FFF2-40B4-BE49-F238E27FC236}">
              <a16:creationId xmlns:a16="http://schemas.microsoft.com/office/drawing/2014/main" id="{F8438EEA-9B22-4A21-87C7-092CAE6975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84673335" y="120650"/>
          <a:ext cx="2917815" cy="1076190"/>
        </a:xfrm>
        <a:prstGeom prst="rect">
          <a:avLst/>
        </a:prstGeom>
      </xdr:spPr>
    </xdr:pic>
    <xdr:clientData/>
  </xdr:oneCellAnchor>
  <xdr:twoCellAnchor editAs="oneCell">
    <xdr:from>
      <xdr:col>4</xdr:col>
      <xdr:colOff>651710</xdr:colOff>
      <xdr:row>0</xdr:row>
      <xdr:rowOff>0</xdr:rowOff>
    </xdr:from>
    <xdr:to>
      <xdr:col>5</xdr:col>
      <xdr:colOff>484539</xdr:colOff>
      <xdr:row>1</xdr:row>
      <xdr:rowOff>98025</xdr:rowOff>
    </xdr:to>
    <xdr:pic>
      <xdr:nvPicPr>
        <xdr:cNvPr id="4" name="Picture 3">
          <a:extLst>
            <a:ext uri="{FF2B5EF4-FFF2-40B4-BE49-F238E27FC236}">
              <a16:creationId xmlns:a16="http://schemas.microsoft.com/office/drawing/2014/main" id="{3006F1F2-9EB3-453E-B6AF-EC5C5FB54B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52663242" y="0"/>
          <a:ext cx="2737285" cy="13178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76200</xdr:rowOff>
    </xdr:from>
    <xdr:to>
      <xdr:col>1</xdr:col>
      <xdr:colOff>86420</xdr:colOff>
      <xdr:row>6</xdr:row>
      <xdr:rowOff>66540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33166238" y="76200"/>
          <a:ext cx="2971437" cy="1076190"/>
        </a:xfrm>
        <a:prstGeom prst="rect">
          <a:avLst/>
        </a:prstGeom>
      </xdr:spPr>
    </xdr:pic>
    <xdr:clientData/>
  </xdr:twoCellAnchor>
  <xdr:twoCellAnchor editAs="oneCell">
    <xdr:from>
      <xdr:col>3</xdr:col>
      <xdr:colOff>19050</xdr:colOff>
      <xdr:row>1</xdr:row>
      <xdr:rowOff>133350</xdr:rowOff>
    </xdr:from>
    <xdr:to>
      <xdr:col>3</xdr:col>
      <xdr:colOff>2759510</xdr:colOff>
      <xdr:row>8</xdr:row>
      <xdr:rowOff>114568</xdr:rowOff>
    </xdr:to>
    <xdr:pic>
      <xdr:nvPicPr>
        <xdr:cNvPr id="5" name="Picture 4">
          <a:extLst>
            <a:ext uri="{FF2B5EF4-FFF2-40B4-BE49-F238E27FC236}">
              <a16:creationId xmlns:a16="http://schemas.microsoft.com/office/drawing/2014/main" id="{986F1DED-B993-49ED-B301-9032DDA798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5307890" y="323850"/>
          <a:ext cx="2740460" cy="13147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rightToLeft="1" tabSelected="1" zoomScale="80" zoomScaleNormal="80" workbookViewId="0">
      <selection activeCell="A21" sqref="A21"/>
    </sheetView>
  </sheetViews>
  <sheetFormatPr defaultRowHeight="14.25"/>
  <cols>
    <col min="1" max="2" width="68.875" customWidth="1"/>
  </cols>
  <sheetData>
    <row r="1" spans="1:2" ht="104.25" customHeight="1"/>
    <row r="2" spans="1:2" ht="32.25">
      <c r="A2" s="27" t="s">
        <v>68</v>
      </c>
      <c r="B2" s="27" t="s">
        <v>69</v>
      </c>
    </row>
    <row r="3" spans="1:2" s="84" customFormat="1" ht="32.25">
      <c r="A3" s="68" t="s">
        <v>140</v>
      </c>
      <c r="B3" s="70" t="s">
        <v>141</v>
      </c>
    </row>
    <row r="4" spans="1:2" ht="63.75">
      <c r="A4" s="29" t="s">
        <v>155</v>
      </c>
      <c r="B4" s="30" t="s">
        <v>156</v>
      </c>
    </row>
    <row r="5" spans="1:2" ht="63.75">
      <c r="A5" s="67" t="s">
        <v>234</v>
      </c>
      <c r="B5" s="69" t="s">
        <v>185</v>
      </c>
    </row>
    <row r="6" spans="1:2" ht="32.25">
      <c r="A6" s="68" t="s">
        <v>7</v>
      </c>
      <c r="B6" s="70" t="s">
        <v>41</v>
      </c>
    </row>
    <row r="7" spans="1:2" ht="32.25">
      <c r="A7" s="67" t="s">
        <v>10</v>
      </c>
      <c r="B7" s="69" t="s">
        <v>42</v>
      </c>
    </row>
    <row r="8" spans="1:2" ht="32.25">
      <c r="A8" s="28" t="s">
        <v>64</v>
      </c>
      <c r="B8" s="31" t="s">
        <v>148</v>
      </c>
    </row>
    <row r="9" spans="1:2" ht="63.75">
      <c r="A9" s="67" t="s">
        <v>218</v>
      </c>
      <c r="B9" s="107" t="s">
        <v>219</v>
      </c>
    </row>
    <row r="10" spans="1:2" ht="32.25">
      <c r="A10" s="28" t="s">
        <v>65</v>
      </c>
      <c r="B10" s="31" t="s">
        <v>66</v>
      </c>
    </row>
    <row r="11" spans="1:2" ht="32.25">
      <c r="A11" s="28" t="s">
        <v>95</v>
      </c>
      <c r="B11" s="31" t="s">
        <v>94</v>
      </c>
    </row>
  </sheetData>
  <hyperlinks>
    <hyperlink ref="A4:B4" location="GOV.BUD!A1" display="GOV.BUD!A1" xr:uid="{00000000-0004-0000-0000-000000000000}"/>
    <hyperlink ref="A6:B6" location="REV!A1" display="الإيرادات" xr:uid="{00000000-0004-0000-0000-000001000000}"/>
    <hyperlink ref="A7:B7" location="EXP!A1" display="المصروفات" xr:uid="{00000000-0004-0000-0000-000002000000}"/>
    <hyperlink ref="A8:B8" location="DEFICIT!A1" display="تمويل العجز" xr:uid="{00000000-0004-0000-0000-000003000000}"/>
    <hyperlink ref="A5" location="Summary!A1" display="الملخص التنفيذي لأداء الميزانية العامة للدولة  " xr:uid="{00000000-0004-0000-0000-000005000000}"/>
    <hyperlink ref="A6" location="Revenues!A1" display="الإيرادات" xr:uid="{00000000-0004-0000-0000-000006000000}"/>
    <hyperlink ref="A7" location="Expenditures!A1" display="المصروفات" xr:uid="{00000000-0004-0000-0000-000007000000}"/>
    <hyperlink ref="B5" location="Summary!A1" display="Summary of Q1 Performance" xr:uid="{00000000-0004-0000-0000-000008000000}"/>
    <hyperlink ref="B6" location="Revenues!A1" display="Revenues" xr:uid="{00000000-0004-0000-0000-000009000000}"/>
    <hyperlink ref="B7" location="Expenditures!A1" display="Expenditures" xr:uid="{00000000-0004-0000-0000-00000A000000}"/>
    <hyperlink ref="A11" location="Appendix!A1" display="ملحق تعريف البنود" xr:uid="{00000000-0004-0000-0000-00000B000000}"/>
    <hyperlink ref="B11" location="Appendix!A1" display="Appendix on the Definition " xr:uid="{00000000-0004-0000-0000-00000C000000}"/>
    <hyperlink ref="A3" location="INTRODUCTION!A1" display="مقدمة" xr:uid="{00000000-0004-0000-0000-00000D000000}"/>
    <hyperlink ref="B3" location="INTRODUCTION!A1" display="INTRODUCTION" xr:uid="{00000000-0004-0000-0000-00000E000000}"/>
    <hyperlink ref="A9:B9" location="Gov.Reserve!A1" display="Gov.Reserve!A1" xr:uid="{9A57C7A1-D299-4716-B6EC-57129A91DD73}"/>
    <hyperlink ref="A10:B10" location="DEBT!A1" display="الدين العام" xr:uid="{00000000-0004-0000-0000-00000400000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8:Q27"/>
  <sheetViews>
    <sheetView showGridLines="0" showRowColHeaders="0" zoomScale="120" zoomScaleNormal="120" workbookViewId="0">
      <selection activeCell="F30" sqref="F30"/>
    </sheetView>
  </sheetViews>
  <sheetFormatPr defaultRowHeight="14.25"/>
  <sheetData>
    <row r="8" spans="2:17" ht="35.25">
      <c r="B8" s="85" t="s">
        <v>140</v>
      </c>
      <c r="P8" s="86" t="s">
        <v>141</v>
      </c>
    </row>
    <row r="10" spans="2:17" ht="10.5" customHeight="1">
      <c r="B10" s="156" t="s">
        <v>144</v>
      </c>
      <c r="C10" s="156"/>
      <c r="D10" s="156"/>
      <c r="E10" s="156"/>
      <c r="F10" s="156"/>
      <c r="G10" s="156"/>
      <c r="H10" s="156"/>
      <c r="K10" s="155" t="s">
        <v>143</v>
      </c>
      <c r="L10" s="155"/>
      <c r="M10" s="155"/>
      <c r="N10" s="155"/>
      <c r="O10" s="155"/>
      <c r="P10" s="155"/>
      <c r="Q10" s="155"/>
    </row>
    <row r="11" spans="2:17" ht="14.25" customHeight="1">
      <c r="B11" s="156"/>
      <c r="C11" s="156"/>
      <c r="D11" s="156"/>
      <c r="E11" s="156"/>
      <c r="F11" s="156"/>
      <c r="G11" s="156"/>
      <c r="H11" s="156"/>
      <c r="K11" s="155"/>
      <c r="L11" s="155"/>
      <c r="M11" s="155"/>
      <c r="N11" s="155"/>
      <c r="O11" s="155"/>
      <c r="P11" s="155"/>
      <c r="Q11" s="155"/>
    </row>
    <row r="12" spans="2:17" ht="14.25" customHeight="1">
      <c r="B12" s="156"/>
      <c r="C12" s="156"/>
      <c r="D12" s="156"/>
      <c r="E12" s="156"/>
      <c r="F12" s="156"/>
      <c r="G12" s="156"/>
      <c r="H12" s="156"/>
      <c r="K12" s="155"/>
      <c r="L12" s="155"/>
      <c r="M12" s="155"/>
      <c r="N12" s="155"/>
      <c r="O12" s="155"/>
      <c r="P12" s="155"/>
      <c r="Q12" s="155"/>
    </row>
    <row r="13" spans="2:17" ht="14.25" customHeight="1">
      <c r="B13" s="156"/>
      <c r="C13" s="156"/>
      <c r="D13" s="156"/>
      <c r="E13" s="156"/>
      <c r="F13" s="156"/>
      <c r="G13" s="156"/>
      <c r="H13" s="156"/>
      <c r="K13" s="155"/>
      <c r="L13" s="155"/>
      <c r="M13" s="155"/>
      <c r="N13" s="155"/>
      <c r="O13" s="155"/>
      <c r="P13" s="155"/>
      <c r="Q13" s="155"/>
    </row>
    <row r="14" spans="2:17" ht="14.25" customHeight="1">
      <c r="B14" s="156"/>
      <c r="C14" s="156"/>
      <c r="D14" s="156"/>
      <c r="E14" s="156"/>
      <c r="F14" s="156"/>
      <c r="G14" s="156"/>
      <c r="H14" s="156"/>
      <c r="K14" s="155"/>
      <c r="L14" s="155"/>
      <c r="M14" s="155"/>
      <c r="N14" s="155"/>
      <c r="O14" s="155"/>
      <c r="P14" s="155"/>
      <c r="Q14" s="155"/>
    </row>
    <row r="15" spans="2:17" ht="14.25" customHeight="1">
      <c r="B15" s="156"/>
      <c r="C15" s="156"/>
      <c r="D15" s="156"/>
      <c r="E15" s="156"/>
      <c r="F15" s="156"/>
      <c r="G15" s="156"/>
      <c r="H15" s="156"/>
      <c r="K15" s="155"/>
      <c r="L15" s="155"/>
      <c r="M15" s="155"/>
      <c r="N15" s="155"/>
      <c r="O15" s="155"/>
      <c r="P15" s="155"/>
      <c r="Q15" s="155"/>
    </row>
    <row r="16" spans="2:17" ht="14.25" customHeight="1">
      <c r="B16" s="156"/>
      <c r="C16" s="156"/>
      <c r="D16" s="156"/>
      <c r="E16" s="156"/>
      <c r="F16" s="156"/>
      <c r="G16" s="156"/>
      <c r="H16" s="156"/>
      <c r="K16" s="155"/>
      <c r="L16" s="155"/>
      <c r="M16" s="155"/>
      <c r="N16" s="155"/>
      <c r="O16" s="155"/>
      <c r="P16" s="155"/>
      <c r="Q16" s="155"/>
    </row>
    <row r="17" spans="2:17" ht="14.25" customHeight="1">
      <c r="B17" s="156"/>
      <c r="C17" s="156"/>
      <c r="D17" s="156"/>
      <c r="E17" s="156"/>
      <c r="F17" s="156"/>
      <c r="G17" s="156"/>
      <c r="H17" s="156"/>
      <c r="K17" s="155"/>
      <c r="L17" s="155"/>
      <c r="M17" s="155"/>
      <c r="N17" s="155"/>
      <c r="O17" s="155"/>
      <c r="P17" s="155"/>
      <c r="Q17" s="155"/>
    </row>
    <row r="18" spans="2:17" ht="14.25" customHeight="1">
      <c r="B18" s="156"/>
      <c r="C18" s="156"/>
      <c r="D18" s="156"/>
      <c r="E18" s="156"/>
      <c r="F18" s="156"/>
      <c r="G18" s="156"/>
      <c r="H18" s="156"/>
      <c r="K18" s="155"/>
      <c r="L18" s="155"/>
      <c r="M18" s="155"/>
      <c r="N18" s="155"/>
      <c r="O18" s="155"/>
      <c r="P18" s="155"/>
      <c r="Q18" s="155"/>
    </row>
    <row r="19" spans="2:17" ht="14.25" customHeight="1">
      <c r="B19" s="156"/>
      <c r="C19" s="156"/>
      <c r="D19" s="156"/>
      <c r="E19" s="156"/>
      <c r="F19" s="156"/>
      <c r="G19" s="156"/>
      <c r="H19" s="156"/>
      <c r="K19" s="155"/>
      <c r="L19" s="155"/>
      <c r="M19" s="155"/>
      <c r="N19" s="155"/>
      <c r="O19" s="155"/>
      <c r="P19" s="155"/>
      <c r="Q19" s="155"/>
    </row>
    <row r="20" spans="2:17" ht="14.25" customHeight="1">
      <c r="B20" s="156"/>
      <c r="C20" s="156"/>
      <c r="D20" s="156"/>
      <c r="E20" s="156"/>
      <c r="F20" s="156"/>
      <c r="G20" s="156"/>
      <c r="H20" s="156"/>
      <c r="K20" s="155"/>
      <c r="L20" s="155"/>
      <c r="M20" s="155"/>
      <c r="N20" s="155"/>
      <c r="O20" s="155"/>
      <c r="P20" s="155"/>
      <c r="Q20" s="155"/>
    </row>
    <row r="21" spans="2:17" ht="14.25" customHeight="1">
      <c r="B21" s="156"/>
      <c r="C21" s="156"/>
      <c r="D21" s="156"/>
      <c r="E21" s="156"/>
      <c r="F21" s="156"/>
      <c r="G21" s="156"/>
      <c r="H21" s="156"/>
      <c r="K21" s="155"/>
      <c r="L21" s="155"/>
      <c r="M21" s="155"/>
      <c r="N21" s="155"/>
      <c r="O21" s="155"/>
      <c r="P21" s="155"/>
      <c r="Q21" s="155"/>
    </row>
    <row r="22" spans="2:17" ht="14.25" customHeight="1">
      <c r="B22" s="156"/>
      <c r="C22" s="156"/>
      <c r="D22" s="156"/>
      <c r="E22" s="156"/>
      <c r="F22" s="156"/>
      <c r="G22" s="156"/>
      <c r="H22" s="156"/>
      <c r="K22" s="155"/>
      <c r="L22" s="155"/>
      <c r="M22" s="155"/>
      <c r="N22" s="155"/>
      <c r="O22" s="155"/>
      <c r="P22" s="155"/>
      <c r="Q22" s="155"/>
    </row>
    <row r="23" spans="2:17" ht="14.25" customHeight="1">
      <c r="B23" s="156"/>
      <c r="C23" s="156"/>
      <c r="D23" s="156"/>
      <c r="E23" s="156"/>
      <c r="F23" s="156"/>
      <c r="G23" s="156"/>
      <c r="H23" s="156"/>
      <c r="K23" s="155"/>
      <c r="L23" s="155"/>
      <c r="M23" s="155"/>
      <c r="N23" s="155"/>
      <c r="O23" s="155"/>
      <c r="P23" s="155"/>
      <c r="Q23" s="155"/>
    </row>
    <row r="24" spans="2:17" ht="14.25" customHeight="1">
      <c r="B24" s="156"/>
      <c r="C24" s="156"/>
      <c r="D24" s="156"/>
      <c r="E24" s="156"/>
      <c r="F24" s="156"/>
      <c r="G24" s="156"/>
      <c r="H24" s="156"/>
      <c r="K24" s="155"/>
      <c r="L24" s="155"/>
      <c r="M24" s="155"/>
      <c r="N24" s="155"/>
      <c r="O24" s="155"/>
      <c r="P24" s="155"/>
      <c r="Q24" s="155"/>
    </row>
    <row r="25" spans="2:17" ht="14.25" customHeight="1">
      <c r="B25" s="156"/>
      <c r="C25" s="156"/>
      <c r="D25" s="156"/>
      <c r="E25" s="156"/>
      <c r="F25" s="156"/>
      <c r="G25" s="156"/>
      <c r="H25" s="156"/>
      <c r="K25" s="155"/>
      <c r="L25" s="155"/>
      <c r="M25" s="155"/>
      <c r="N25" s="155"/>
      <c r="O25" s="155"/>
      <c r="P25" s="155"/>
      <c r="Q25" s="155"/>
    </row>
    <row r="26" spans="2:17" ht="15" customHeight="1">
      <c r="B26" s="156"/>
      <c r="C26" s="156"/>
      <c r="D26" s="156"/>
      <c r="E26" s="156"/>
      <c r="F26" s="156"/>
      <c r="G26" s="156"/>
      <c r="H26" s="156"/>
      <c r="K26" s="155"/>
      <c r="L26" s="155"/>
      <c r="M26" s="155"/>
      <c r="N26" s="155"/>
      <c r="O26" s="155"/>
      <c r="P26" s="155"/>
      <c r="Q26" s="155"/>
    </row>
    <row r="27" spans="2:17" ht="15" customHeight="1">
      <c r="B27" s="156"/>
      <c r="C27" s="156"/>
      <c r="D27" s="156"/>
      <c r="E27" s="156"/>
      <c r="F27" s="156"/>
      <c r="G27" s="156"/>
      <c r="H27" s="156"/>
      <c r="K27" s="155"/>
      <c r="L27" s="155"/>
      <c r="M27" s="155"/>
      <c r="N27" s="155"/>
      <c r="O27" s="155"/>
      <c r="P27" s="155"/>
      <c r="Q27" s="155"/>
    </row>
  </sheetData>
  <mergeCells count="2">
    <mergeCell ref="K10:Q27"/>
    <mergeCell ref="B10:H2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showGridLines="0" showRowColHeaders="0" rightToLeft="1" zoomScale="90" zoomScaleNormal="90" workbookViewId="0">
      <selection activeCell="A40" sqref="B40"/>
    </sheetView>
  </sheetViews>
  <sheetFormatPr defaultRowHeight="14.25"/>
  <cols>
    <col min="1" max="1" width="41" customWidth="1"/>
    <col min="2" max="5" width="23.5" customWidth="1"/>
  </cols>
  <sheetData>
    <row r="1" spans="1:5" ht="96" customHeight="1"/>
    <row r="2" spans="1:5" ht="30.75" customHeight="1">
      <c r="A2" s="79" t="s">
        <v>135</v>
      </c>
      <c r="B2" s="54"/>
      <c r="C2" s="54"/>
      <c r="D2" s="54"/>
      <c r="E2" s="49" t="s">
        <v>160</v>
      </c>
    </row>
    <row r="3" spans="1:5" ht="31.5">
      <c r="A3" s="80" t="s">
        <v>159</v>
      </c>
    </row>
    <row r="4" spans="1:5" ht="26.25">
      <c r="A4" s="23" t="s">
        <v>40</v>
      </c>
      <c r="E4" s="6" t="s">
        <v>6</v>
      </c>
    </row>
    <row r="5" spans="1:5" ht="68.25" customHeight="1">
      <c r="A5" s="157" t="s">
        <v>0</v>
      </c>
      <c r="B5" s="5" t="s">
        <v>154</v>
      </c>
      <c r="C5" s="5" t="s">
        <v>161</v>
      </c>
      <c r="D5" s="5" t="s">
        <v>162</v>
      </c>
      <c r="E5" s="157" t="s">
        <v>5</v>
      </c>
    </row>
    <row r="6" spans="1:5" ht="97.5" customHeight="1">
      <c r="A6" s="157"/>
      <c r="B6" s="7" t="s">
        <v>163</v>
      </c>
      <c r="C6" s="7" t="s">
        <v>157</v>
      </c>
      <c r="D6" s="7" t="s">
        <v>158</v>
      </c>
      <c r="E6" s="157"/>
    </row>
    <row r="7" spans="1:5" ht="27">
      <c r="A7" s="3" t="s">
        <v>1</v>
      </c>
      <c r="B7" s="35">
        <v>1130000</v>
      </c>
      <c r="C7" s="35">
        <v>1212289.600675252</v>
      </c>
      <c r="D7" s="35">
        <v>1172000</v>
      </c>
      <c r="E7" s="4" t="s">
        <v>3</v>
      </c>
    </row>
    <row r="8" spans="1:5" ht="27">
      <c r="A8" s="1" t="s">
        <v>2</v>
      </c>
      <c r="B8" s="36">
        <v>1114000</v>
      </c>
      <c r="C8" s="36">
        <v>1293236.0918411927</v>
      </c>
      <c r="D8" s="36">
        <v>1251000</v>
      </c>
      <c r="E8" s="2" t="s">
        <v>4</v>
      </c>
    </row>
    <row r="9" spans="1:5" ht="27.75" thickBot="1">
      <c r="A9" s="96" t="s">
        <v>142</v>
      </c>
      <c r="B9" s="37">
        <f>B7-B8</f>
        <v>16000</v>
      </c>
      <c r="C9" s="37">
        <f>C7-C8</f>
        <v>-80946.49116594065</v>
      </c>
      <c r="D9" s="37">
        <f>D7-D8</f>
        <v>-79000</v>
      </c>
      <c r="E9" s="95" t="s">
        <v>145</v>
      </c>
    </row>
  </sheetData>
  <mergeCells count="2">
    <mergeCell ref="E5:E6"/>
    <mergeCell ref="A5:A6"/>
  </mergeCells>
  <conditionalFormatting sqref="B9:D9">
    <cfRule type="cellIs" dxfId="1" priority="1" operator="lessThan">
      <formula>0</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BE7F-D8DF-4C9D-80C3-3CE54BAD582F}">
  <dimension ref="A10:AF74"/>
  <sheetViews>
    <sheetView showGridLines="0" showRowColHeaders="0" rightToLeft="1" zoomScale="71" zoomScaleNormal="115" workbookViewId="0">
      <selection activeCell="O38" sqref="O38"/>
    </sheetView>
  </sheetViews>
  <sheetFormatPr defaultRowHeight="14.25"/>
  <cols>
    <col min="6" max="6" width="13" customWidth="1"/>
    <col min="17" max="17" width="12.375" customWidth="1"/>
    <col min="23" max="23" width="9.5" bestFit="1" customWidth="1"/>
  </cols>
  <sheetData>
    <row r="10" spans="1:29" s="54" customFormat="1" ht="35.25">
      <c r="A10" s="53" t="s">
        <v>75</v>
      </c>
      <c r="O10" s="60"/>
      <c r="P10" s="60"/>
      <c r="Q10" s="61" t="s">
        <v>185</v>
      </c>
    </row>
    <row r="11" spans="1:29" s="54" customFormat="1" ht="35.25">
      <c r="A11" s="62" t="s">
        <v>183</v>
      </c>
      <c r="N11" s="63"/>
      <c r="Q11" s="64" t="s">
        <v>184</v>
      </c>
    </row>
    <row r="12" spans="1:29" ht="26.25">
      <c r="A12" s="23" t="s">
        <v>40</v>
      </c>
      <c r="Q12" s="6" t="s">
        <v>6</v>
      </c>
    </row>
    <row r="13" spans="1:29">
      <c r="S13" s="119"/>
      <c r="T13" s="119"/>
      <c r="U13" s="119"/>
      <c r="V13" s="119"/>
      <c r="W13" s="119"/>
      <c r="X13" s="119"/>
      <c r="Y13" s="119"/>
      <c r="Z13" s="119"/>
      <c r="AA13" s="119"/>
      <c r="AB13" s="119"/>
      <c r="AC13" s="119"/>
    </row>
    <row r="14" spans="1:29">
      <c r="S14" s="119"/>
      <c r="T14" s="119"/>
      <c r="U14" s="119"/>
      <c r="V14" s="119"/>
      <c r="W14" s="119"/>
      <c r="X14" s="119"/>
      <c r="Y14" s="119"/>
      <c r="Z14" s="119"/>
      <c r="AA14" s="119"/>
      <c r="AB14" s="119"/>
      <c r="AC14" s="119"/>
    </row>
    <row r="15" spans="1:29">
      <c r="S15" s="119"/>
      <c r="T15" s="119"/>
      <c r="U15" s="119"/>
      <c r="V15" s="119"/>
      <c r="W15" s="119"/>
      <c r="X15" s="119"/>
      <c r="Y15" s="119"/>
      <c r="Z15" s="119"/>
      <c r="AA15" s="119"/>
      <c r="AB15" s="119"/>
      <c r="AC15" s="119"/>
    </row>
    <row r="16" spans="1:29">
      <c r="L16" s="38"/>
      <c r="M16" s="38"/>
      <c r="N16" s="38"/>
      <c r="O16" s="38"/>
      <c r="P16" s="38"/>
      <c r="Q16" s="38"/>
      <c r="R16" s="38"/>
      <c r="S16" s="119"/>
      <c r="T16" s="119"/>
      <c r="U16" s="119"/>
      <c r="V16" s="119"/>
      <c r="W16" s="120"/>
      <c r="X16" s="119"/>
      <c r="Y16" s="119"/>
      <c r="Z16" s="119"/>
      <c r="AA16" s="119"/>
      <c r="AB16" s="119"/>
      <c r="AC16" s="119"/>
    </row>
    <row r="17" spans="12:29">
      <c r="L17" s="38"/>
      <c r="M17" s="38"/>
      <c r="N17" s="38"/>
      <c r="O17" s="38"/>
      <c r="P17" s="38"/>
      <c r="Q17" s="38"/>
      <c r="R17" s="38"/>
      <c r="S17" s="119"/>
      <c r="T17" s="119"/>
      <c r="U17" s="119"/>
      <c r="V17" s="119"/>
      <c r="W17" s="120"/>
      <c r="X17" s="119"/>
      <c r="Y17" s="119"/>
      <c r="Z17" s="119"/>
      <c r="AA17" s="119"/>
      <c r="AB17" s="119"/>
      <c r="AC17" s="119"/>
    </row>
    <row r="18" spans="12:29" ht="15">
      <c r="L18" s="38"/>
      <c r="M18" s="38"/>
      <c r="N18" s="38"/>
      <c r="O18" s="39"/>
      <c r="P18" s="39"/>
      <c r="Q18" s="39"/>
      <c r="R18" s="39"/>
      <c r="S18" s="121"/>
      <c r="T18" s="119"/>
      <c r="U18" s="122"/>
      <c r="V18" s="119"/>
      <c r="W18" s="120"/>
      <c r="X18" s="119"/>
      <c r="Y18" s="119"/>
      <c r="Z18" s="119"/>
      <c r="AA18" s="119"/>
      <c r="AB18" s="119"/>
      <c r="AC18" s="119"/>
    </row>
    <row r="19" spans="12:29" ht="15">
      <c r="L19" s="38"/>
      <c r="M19" s="38"/>
      <c r="N19" s="38"/>
      <c r="O19" s="39"/>
      <c r="R19" s="39"/>
      <c r="S19" s="121"/>
      <c r="T19" s="119"/>
      <c r="U19" s="122"/>
      <c r="V19" s="119"/>
      <c r="W19" s="119"/>
      <c r="X19" s="119"/>
      <c r="Y19" s="119"/>
      <c r="Z19" s="119"/>
      <c r="AA19" s="119"/>
      <c r="AB19" s="119"/>
      <c r="AC19" s="119"/>
    </row>
    <row r="20" spans="12:29" ht="15">
      <c r="L20" s="38"/>
      <c r="M20" s="38"/>
      <c r="N20" s="38"/>
      <c r="O20" s="39"/>
      <c r="R20" s="39"/>
      <c r="S20" s="121"/>
      <c r="T20" s="119"/>
      <c r="U20" s="122"/>
      <c r="V20" s="119"/>
      <c r="W20" s="119"/>
      <c r="X20" s="119"/>
      <c r="Y20" s="119"/>
      <c r="Z20" s="119"/>
      <c r="AA20" s="119"/>
      <c r="AB20" s="119"/>
      <c r="AC20" s="119"/>
    </row>
    <row r="21" spans="12:29">
      <c r="L21" s="38"/>
      <c r="M21" s="38"/>
      <c r="N21" s="38"/>
      <c r="O21" s="39"/>
      <c r="R21" s="39"/>
      <c r="S21" s="121"/>
      <c r="T21" s="119"/>
      <c r="U21" s="119"/>
      <c r="V21" s="119"/>
      <c r="W21" s="119"/>
      <c r="X21" s="119"/>
      <c r="Y21" s="119"/>
      <c r="Z21" s="119"/>
      <c r="AA21" s="119"/>
      <c r="AB21" s="119"/>
      <c r="AC21" s="119"/>
    </row>
    <row r="22" spans="12:29">
      <c r="L22" s="38"/>
      <c r="M22" s="38"/>
      <c r="N22" s="38"/>
      <c r="O22" s="39"/>
      <c r="R22" s="39"/>
      <c r="S22" s="121"/>
      <c r="T22" s="119"/>
      <c r="U22" s="119"/>
      <c r="V22" s="119"/>
      <c r="W22" s="119"/>
      <c r="X22" s="119"/>
      <c r="Y22" s="119"/>
      <c r="Z22" s="119"/>
      <c r="AA22" s="119"/>
      <c r="AB22" s="119"/>
      <c r="AC22" s="119"/>
    </row>
    <row r="23" spans="12:29">
      <c r="L23" s="38"/>
      <c r="M23" s="38"/>
      <c r="N23" s="38"/>
      <c r="O23" s="39"/>
      <c r="R23" s="39"/>
      <c r="S23" s="121"/>
      <c r="T23" s="119"/>
      <c r="U23" s="119"/>
      <c r="V23" s="119"/>
      <c r="W23" s="119"/>
      <c r="X23" s="119"/>
      <c r="Y23" s="119"/>
      <c r="Z23" s="119"/>
      <c r="AA23" s="119"/>
      <c r="AB23" s="119"/>
      <c r="AC23" s="119"/>
    </row>
    <row r="24" spans="12:29">
      <c r="L24" s="38"/>
      <c r="M24" s="38"/>
      <c r="N24" s="38"/>
      <c r="O24" s="39"/>
      <c r="R24" s="39"/>
      <c r="S24" s="121"/>
      <c r="T24" s="119"/>
      <c r="U24" s="119"/>
      <c r="V24" s="119"/>
      <c r="W24" s="119"/>
      <c r="X24" s="119"/>
      <c r="Y24" s="119"/>
      <c r="Z24" s="119"/>
      <c r="AA24" s="119"/>
      <c r="AB24" s="119"/>
      <c r="AC24" s="119"/>
    </row>
    <row r="25" spans="12:29">
      <c r="L25" s="38"/>
      <c r="M25" s="38"/>
      <c r="N25" s="38"/>
      <c r="O25" s="39"/>
      <c r="P25" s="39"/>
      <c r="Q25" s="39"/>
      <c r="R25" s="39"/>
      <c r="S25" s="121"/>
      <c r="T25" s="119"/>
      <c r="U25" s="119"/>
      <c r="V25" s="119"/>
      <c r="W25" s="119"/>
      <c r="X25" s="119"/>
      <c r="Y25" s="119"/>
      <c r="Z25" s="119"/>
      <c r="AA25" s="119"/>
      <c r="AB25" s="119"/>
      <c r="AC25" s="119"/>
    </row>
    <row r="26" spans="12:29">
      <c r="L26" s="38"/>
      <c r="M26" s="38"/>
      <c r="N26" s="38"/>
      <c r="O26" s="38"/>
      <c r="P26" s="38"/>
      <c r="Q26" s="38"/>
      <c r="R26" s="38"/>
      <c r="S26" s="119"/>
      <c r="T26" s="119"/>
      <c r="U26" s="119"/>
      <c r="V26" s="119"/>
      <c r="W26" s="119"/>
      <c r="X26" s="119"/>
      <c r="Y26" s="119"/>
      <c r="Z26" s="119"/>
      <c r="AA26" s="119"/>
      <c r="AB26" s="119"/>
      <c r="AC26" s="119"/>
    </row>
    <row r="27" spans="12:29">
      <c r="S27" s="119"/>
      <c r="T27" s="119"/>
      <c r="U27" s="119"/>
      <c r="V27" s="119"/>
      <c r="W27" s="119"/>
      <c r="X27" s="119"/>
      <c r="Y27" s="119"/>
      <c r="Z27" s="119"/>
      <c r="AA27" s="119"/>
      <c r="AB27" s="119"/>
      <c r="AC27" s="119"/>
    </row>
    <row r="28" spans="12:29">
      <c r="S28" s="119"/>
      <c r="T28" s="119"/>
      <c r="U28" s="119"/>
      <c r="V28" s="119"/>
      <c r="W28" s="119"/>
      <c r="X28" s="119"/>
      <c r="Y28" s="119"/>
      <c r="Z28" s="119"/>
      <c r="AA28" s="119"/>
      <c r="AB28" s="119"/>
      <c r="AC28" s="119"/>
    </row>
    <row r="29" spans="12:29">
      <c r="S29" s="119"/>
      <c r="T29" s="119"/>
      <c r="U29" s="119"/>
      <c r="V29" s="119"/>
      <c r="W29" s="119"/>
      <c r="X29" s="119"/>
      <c r="Y29" s="119"/>
      <c r="Z29" s="119"/>
      <c r="AA29" s="119"/>
      <c r="AB29" s="119"/>
      <c r="AC29" s="119"/>
    </row>
    <row r="30" spans="12:29">
      <c r="S30" s="119"/>
      <c r="T30" s="119"/>
      <c r="U30" s="119"/>
      <c r="V30" s="119"/>
      <c r="W30" s="119"/>
      <c r="X30" s="119"/>
      <c r="Y30" s="119"/>
      <c r="Z30" s="119"/>
      <c r="AA30" s="119"/>
      <c r="AB30" s="119"/>
      <c r="AC30" s="119"/>
    </row>
    <row r="31" spans="12:29">
      <c r="S31" s="119"/>
      <c r="T31" s="119"/>
      <c r="U31" s="119"/>
      <c r="V31" s="119"/>
      <c r="W31" s="119"/>
      <c r="X31" s="119"/>
      <c r="Y31" s="119"/>
      <c r="Z31" s="119"/>
      <c r="AA31" s="119"/>
      <c r="AB31" s="119"/>
      <c r="AC31" s="119"/>
    </row>
    <row r="32" spans="12:29">
      <c r="S32" s="119"/>
      <c r="T32" s="119"/>
      <c r="U32" s="119"/>
      <c r="V32" s="119"/>
      <c r="W32" s="119"/>
      <c r="X32" s="119"/>
      <c r="Y32" s="119"/>
      <c r="Z32" s="119"/>
      <c r="AA32" s="119"/>
      <c r="AB32" s="119"/>
      <c r="AC32" s="119"/>
    </row>
    <row r="33" spans="1:32">
      <c r="S33" s="119"/>
      <c r="T33" s="119"/>
      <c r="U33" s="119"/>
      <c r="V33" s="119"/>
      <c r="W33" s="119"/>
      <c r="X33" s="119"/>
      <c r="Y33" s="119"/>
      <c r="Z33" s="119"/>
      <c r="AA33" s="119"/>
      <c r="AB33" s="119"/>
      <c r="AC33" s="119"/>
    </row>
    <row r="34" spans="1:32">
      <c r="S34" s="119"/>
      <c r="T34" s="119"/>
      <c r="U34" s="119"/>
      <c r="V34" s="119"/>
      <c r="W34" s="119"/>
      <c r="X34" s="119"/>
      <c r="Y34" s="119"/>
      <c r="Z34" s="119"/>
      <c r="AA34" s="119"/>
      <c r="AB34" s="119"/>
      <c r="AC34" s="119"/>
    </row>
    <row r="35" spans="1:32">
      <c r="S35" s="119"/>
      <c r="T35" s="119"/>
      <c r="U35" s="119"/>
      <c r="V35" s="119"/>
      <c r="W35" s="119"/>
      <c r="X35" s="119"/>
      <c r="Y35" s="119"/>
      <c r="Z35" s="119"/>
      <c r="AA35" s="119"/>
      <c r="AB35" s="119"/>
      <c r="AC35" s="119"/>
    </row>
    <row r="36" spans="1:32">
      <c r="S36" s="119"/>
      <c r="T36" s="119"/>
      <c r="U36" s="119"/>
      <c r="V36" s="119"/>
      <c r="W36" s="119"/>
      <c r="X36" s="119"/>
      <c r="Y36" s="119"/>
      <c r="Z36" s="119"/>
      <c r="AA36" s="119"/>
      <c r="AB36" s="119"/>
      <c r="AC36" s="119"/>
    </row>
    <row r="37" spans="1:32" ht="27">
      <c r="A37" s="33" t="s">
        <v>237</v>
      </c>
      <c r="O37" s="34" t="s">
        <v>169</v>
      </c>
      <c r="S37" s="119"/>
      <c r="T37" s="119"/>
      <c r="U37" s="119"/>
      <c r="V37" s="119"/>
      <c r="W37" s="119"/>
      <c r="X37" s="119"/>
      <c r="Y37" s="119"/>
      <c r="Z37" s="119"/>
      <c r="AA37" s="119"/>
      <c r="AB37" s="119"/>
      <c r="AC37" s="119"/>
    </row>
    <row r="38" spans="1:32">
      <c r="S38" s="119"/>
      <c r="T38" s="119"/>
      <c r="U38" s="119"/>
      <c r="V38" s="119"/>
      <c r="W38" s="119"/>
      <c r="X38" s="119"/>
      <c r="Y38" s="119"/>
      <c r="Z38" s="119"/>
      <c r="AA38" s="119"/>
      <c r="AB38" s="119"/>
      <c r="AC38" s="119"/>
    </row>
    <row r="39" spans="1:32">
      <c r="S39" s="119"/>
      <c r="T39" s="119"/>
      <c r="U39" s="119"/>
      <c r="V39" s="119"/>
      <c r="W39" s="119"/>
      <c r="X39" s="119"/>
      <c r="Y39" s="119"/>
      <c r="Z39" s="119"/>
      <c r="AA39" s="119"/>
      <c r="AB39" s="119"/>
      <c r="AC39" s="119"/>
    </row>
    <row r="41" spans="1:32" ht="35.25">
      <c r="A41" s="62"/>
      <c r="AF41" s="64"/>
    </row>
    <row r="42" spans="1:32" ht="35.25">
      <c r="Q42" s="61" t="s">
        <v>174</v>
      </c>
      <c r="R42" s="53"/>
      <c r="AF42" s="55"/>
    </row>
    <row r="43" spans="1:32" ht="35.25">
      <c r="A43" s="62" t="s">
        <v>167</v>
      </c>
      <c r="B43" s="62"/>
      <c r="Q43" s="64" t="s">
        <v>175</v>
      </c>
      <c r="R43" s="56"/>
    </row>
    <row r="44" spans="1:32" ht="26.25">
      <c r="A44" s="23" t="s">
        <v>40</v>
      </c>
      <c r="Q44" s="6" t="s">
        <v>6</v>
      </c>
      <c r="R44" s="23"/>
      <c r="AF44" s="6"/>
    </row>
    <row r="48" spans="1:32">
      <c r="L48" s="38"/>
      <c r="M48" s="38"/>
      <c r="N48" s="38"/>
      <c r="O48" s="38"/>
      <c r="P48" s="38"/>
      <c r="Q48" s="38"/>
    </row>
    <row r="49" spans="12:17">
      <c r="L49" s="38"/>
      <c r="M49" s="38"/>
      <c r="N49" s="38"/>
      <c r="O49" s="38"/>
      <c r="P49" s="38"/>
      <c r="Q49" s="38"/>
    </row>
    <row r="50" spans="12:17">
      <c r="L50" s="38"/>
      <c r="M50" s="38"/>
      <c r="N50" s="38"/>
      <c r="O50" s="39"/>
      <c r="P50" s="39"/>
      <c r="Q50" s="39"/>
    </row>
    <row r="51" spans="12:17">
      <c r="L51" s="38"/>
      <c r="M51" s="38"/>
      <c r="N51" s="38"/>
      <c r="O51" s="39"/>
    </row>
    <row r="52" spans="12:17">
      <c r="L52" s="38"/>
      <c r="M52" s="38"/>
      <c r="N52" s="38"/>
      <c r="O52" s="39"/>
    </row>
    <row r="53" spans="12:17">
      <c r="L53" s="38"/>
      <c r="M53" s="38"/>
      <c r="N53" s="38"/>
      <c r="O53" s="39"/>
    </row>
    <row r="54" spans="12:17">
      <c r="L54" s="38"/>
      <c r="M54" s="38"/>
      <c r="N54" s="38"/>
      <c r="O54" s="39"/>
    </row>
    <row r="55" spans="12:17">
      <c r="L55" s="38"/>
      <c r="M55" s="38"/>
      <c r="N55" s="38"/>
      <c r="O55" s="39"/>
    </row>
    <row r="56" spans="12:17">
      <c r="L56" s="38"/>
      <c r="M56" s="38"/>
      <c r="N56" s="38"/>
      <c r="O56" s="39"/>
    </row>
    <row r="57" spans="12:17">
      <c r="L57" s="38"/>
      <c r="M57" s="38"/>
      <c r="N57" s="38"/>
      <c r="O57" s="39"/>
      <c r="P57" s="39"/>
      <c r="Q57" s="39"/>
    </row>
    <row r="58" spans="12:17">
      <c r="L58" s="38"/>
      <c r="M58" s="38"/>
      <c r="N58" s="38"/>
      <c r="O58" s="38"/>
      <c r="P58" s="38"/>
      <c r="Q58" s="38"/>
    </row>
    <row r="69" spans="1:15" ht="27">
      <c r="A69" s="33" t="s">
        <v>168</v>
      </c>
      <c r="O69" s="34" t="s">
        <v>169</v>
      </c>
    </row>
    <row r="74" spans="1:15" ht="27">
      <c r="A74" s="33"/>
      <c r="O74" s="34"/>
    </row>
  </sheetData>
  <conditionalFormatting sqref="U20">
    <cfRule type="cellIs" dxfId="0" priority="1" operator="lessThan">
      <formula>0</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CF91-9A28-43F2-BC14-1018B51E9B68}">
  <dimension ref="A1:G49"/>
  <sheetViews>
    <sheetView showGridLines="0" rightToLeft="1" zoomScale="80" zoomScaleNormal="80" workbookViewId="0">
      <selection activeCell="B17" sqref="B17"/>
    </sheetView>
  </sheetViews>
  <sheetFormatPr defaultRowHeight="14.25"/>
  <cols>
    <col min="1" max="1" width="64.5" customWidth="1"/>
    <col min="2" max="2" width="41" customWidth="1"/>
    <col min="3" max="3" width="19.5" customWidth="1"/>
    <col min="4" max="4" width="39.375" customWidth="1"/>
    <col min="5" max="5" width="62.5" customWidth="1"/>
    <col min="6" max="6" width="45.375" style="9" customWidth="1"/>
  </cols>
  <sheetData>
    <row r="1" spans="1:6" ht="96" customHeight="1">
      <c r="F1"/>
    </row>
    <row r="2" spans="1:6" ht="35.25">
      <c r="A2" s="51" t="s">
        <v>7</v>
      </c>
      <c r="B2" s="51"/>
      <c r="D2" s="51"/>
      <c r="E2" s="52"/>
      <c r="F2" s="51" t="s">
        <v>41</v>
      </c>
    </row>
    <row r="3" spans="1:6" ht="35.25">
      <c r="A3" s="53" t="s">
        <v>170</v>
      </c>
      <c r="B3" s="53"/>
      <c r="D3" s="53"/>
      <c r="E3" s="54"/>
      <c r="F3" s="55" t="s">
        <v>176</v>
      </c>
    </row>
    <row r="4" spans="1:6" ht="26.25">
      <c r="A4" s="23" t="s">
        <v>40</v>
      </c>
      <c r="B4" s="23"/>
      <c r="F4" s="6" t="s">
        <v>6</v>
      </c>
    </row>
    <row r="5" spans="1:6" ht="20.100000000000001" customHeight="1">
      <c r="A5" s="159" t="s">
        <v>39</v>
      </c>
      <c r="B5" s="159" t="s">
        <v>19</v>
      </c>
      <c r="C5" s="109" t="s">
        <v>171</v>
      </c>
      <c r="D5" s="109" t="s">
        <v>166</v>
      </c>
      <c r="E5" s="109" t="s">
        <v>76</v>
      </c>
      <c r="F5" s="115" t="s">
        <v>8</v>
      </c>
    </row>
    <row r="6" spans="1:6" s="32" customFormat="1" ht="20.100000000000001" customHeight="1">
      <c r="A6" s="159"/>
      <c r="B6" s="159"/>
      <c r="C6" s="109">
        <v>2024</v>
      </c>
      <c r="D6" s="109">
        <v>2024</v>
      </c>
      <c r="E6" s="109">
        <v>2024</v>
      </c>
      <c r="F6" s="115"/>
    </row>
    <row r="7" spans="1:6" s="32" customFormat="1" ht="27">
      <c r="A7" s="3" t="s">
        <v>21</v>
      </c>
      <c r="B7" s="35">
        <v>585777.43291586207</v>
      </c>
      <c r="C7" s="35">
        <v>190866.05824755004</v>
      </c>
      <c r="D7" s="35">
        <v>212989.76535168703</v>
      </c>
      <c r="E7" s="35">
        <v>181921.60931662499</v>
      </c>
      <c r="F7" s="4" t="s">
        <v>25</v>
      </c>
    </row>
    <row r="8" spans="1:6" s="32" customFormat="1" ht="27" customHeight="1">
      <c r="A8" s="24" t="s">
        <v>93</v>
      </c>
      <c r="B8" s="110">
        <v>25409.134411450003</v>
      </c>
      <c r="C8" s="110">
        <v>6014.029691720003</v>
      </c>
      <c r="D8" s="110">
        <v>12850.343979429999</v>
      </c>
      <c r="E8" s="110">
        <v>6544.7607403000002</v>
      </c>
      <c r="F8" s="25" t="s">
        <v>136</v>
      </c>
    </row>
    <row r="9" spans="1:6" s="32" customFormat="1" ht="27" customHeight="1">
      <c r="A9" s="24" t="s">
        <v>72</v>
      </c>
      <c r="B9" s="110">
        <v>213971.38886069</v>
      </c>
      <c r="C9" s="110">
        <v>73943.430724539998</v>
      </c>
      <c r="D9" s="110">
        <v>70124.987767230006</v>
      </c>
      <c r="E9" s="110">
        <v>69902.970368919996</v>
      </c>
      <c r="F9" s="25" t="s">
        <v>119</v>
      </c>
    </row>
    <row r="10" spans="1:6" s="32" customFormat="1" ht="27" customHeight="1">
      <c r="A10" s="24" t="s">
        <v>73</v>
      </c>
      <c r="B10" s="110">
        <v>16855.36269419</v>
      </c>
      <c r="C10" s="110">
        <v>5363.7319500400008</v>
      </c>
      <c r="D10" s="110">
        <v>5458.1523979200001</v>
      </c>
      <c r="E10" s="110">
        <v>6033.4783462299993</v>
      </c>
      <c r="F10" s="25" t="s">
        <v>137</v>
      </c>
    </row>
    <row r="11" spans="1:6" s="32" customFormat="1" ht="27" customHeight="1">
      <c r="A11" s="24" t="s">
        <v>74</v>
      </c>
      <c r="B11" s="110">
        <v>33507.800911209997</v>
      </c>
      <c r="C11" s="110">
        <v>5311.472721539998</v>
      </c>
      <c r="D11" s="110">
        <v>24506.52012768</v>
      </c>
      <c r="E11" s="110">
        <v>3689.8080619899997</v>
      </c>
      <c r="F11" s="25" t="s">
        <v>123</v>
      </c>
    </row>
    <row r="12" spans="1:6" s="32" customFormat="1" ht="27.75" customHeight="1">
      <c r="A12" s="24" t="s">
        <v>22</v>
      </c>
      <c r="B12" s="110">
        <v>80712.308822989988</v>
      </c>
      <c r="C12" s="110">
        <v>27709.512563315002</v>
      </c>
      <c r="D12" s="110">
        <v>27662.059325927978</v>
      </c>
      <c r="E12" s="110">
        <v>25340.736933747008</v>
      </c>
      <c r="F12" s="25" t="s">
        <v>26</v>
      </c>
    </row>
    <row r="13" spans="1:6" s="32" customFormat="1" ht="27">
      <c r="A13" s="14" t="s">
        <v>23</v>
      </c>
      <c r="B13" s="114">
        <v>370455.99570053001</v>
      </c>
      <c r="C13" s="116">
        <v>118342.17765115501</v>
      </c>
      <c r="D13" s="40">
        <v>140602.06359818799</v>
      </c>
      <c r="E13" s="116">
        <v>111511.75445118701</v>
      </c>
      <c r="F13" s="15" t="s">
        <v>27</v>
      </c>
    </row>
    <row r="14" spans="1:6" s="32" customFormat="1" ht="27">
      <c r="A14" s="12" t="s">
        <v>70</v>
      </c>
      <c r="B14" s="111">
        <v>956233.42861639196</v>
      </c>
      <c r="C14" s="111">
        <v>309208.23589870508</v>
      </c>
      <c r="D14" s="111">
        <v>353591.82894987502</v>
      </c>
      <c r="E14" s="111">
        <v>293433.36376781197</v>
      </c>
      <c r="F14" s="13" t="s">
        <v>28</v>
      </c>
    </row>
    <row r="15" spans="1:6" ht="27">
      <c r="A15" s="11"/>
      <c r="B15" s="11"/>
      <c r="C15" s="11"/>
      <c r="F15" s="10"/>
    </row>
    <row r="16" spans="1:6" ht="27">
      <c r="A16" s="11"/>
      <c r="B16" s="11"/>
      <c r="C16" s="11"/>
      <c r="F16" s="10"/>
    </row>
    <row r="17" spans="1:7" ht="35.25">
      <c r="A17" s="53" t="s">
        <v>178</v>
      </c>
      <c r="B17" s="53"/>
      <c r="C17" s="53"/>
      <c r="D17" s="54"/>
      <c r="E17" s="55"/>
      <c r="F17" s="113" t="s">
        <v>179</v>
      </c>
    </row>
    <row r="18" spans="1:7" ht="18.75" customHeight="1">
      <c r="A18" s="56" t="s">
        <v>88</v>
      </c>
      <c r="B18" s="56"/>
      <c r="C18" s="56"/>
      <c r="D18" s="54"/>
      <c r="E18" s="54"/>
      <c r="F18" s="57"/>
    </row>
    <row r="19" spans="1:7" ht="26.25">
      <c r="A19" s="23" t="s">
        <v>40</v>
      </c>
      <c r="B19" s="23"/>
      <c r="C19" s="23"/>
      <c r="F19" s="6" t="s">
        <v>6</v>
      </c>
    </row>
    <row r="20" spans="1:7" ht="32.25">
      <c r="A20" s="158" t="s">
        <v>39</v>
      </c>
      <c r="B20" s="158"/>
      <c r="C20" s="108" t="s">
        <v>90</v>
      </c>
      <c r="D20" s="59" t="s">
        <v>171</v>
      </c>
      <c r="E20" s="59" t="s">
        <v>171</v>
      </c>
      <c r="F20" s="158" t="s">
        <v>8</v>
      </c>
    </row>
    <row r="21" spans="1:7" ht="32.25">
      <c r="A21" s="158"/>
      <c r="B21" s="158"/>
      <c r="C21" s="108" t="s">
        <v>89</v>
      </c>
      <c r="D21" s="59">
        <v>2024</v>
      </c>
      <c r="E21" s="59">
        <v>2023</v>
      </c>
      <c r="F21" s="158"/>
    </row>
    <row r="22" spans="1:7" ht="27">
      <c r="A22" s="181" t="s">
        <v>21</v>
      </c>
      <c r="B22" s="181"/>
      <c r="C22" s="41">
        <f t="shared" ref="C22:C29" si="0">D22/E22-1</f>
        <v>0.29835976552520305</v>
      </c>
      <c r="D22" s="35">
        <v>190866.05824755004</v>
      </c>
      <c r="E22" s="35">
        <v>147005.524443637</v>
      </c>
      <c r="F22" s="4" t="s">
        <v>25</v>
      </c>
      <c r="G22" s="97"/>
    </row>
    <row r="23" spans="1:7" ht="27">
      <c r="A23" s="182" t="s">
        <v>71</v>
      </c>
      <c r="B23" s="182"/>
      <c r="C23" s="41">
        <f t="shared" si="0"/>
        <v>-0.26749757091626369</v>
      </c>
      <c r="D23" s="110">
        <v>6014.029691720003</v>
      </c>
      <c r="E23" s="110">
        <v>8210.2522161499983</v>
      </c>
      <c r="F23" s="25" t="s">
        <v>136</v>
      </c>
      <c r="G23" s="97"/>
    </row>
    <row r="24" spans="1:7" ht="27">
      <c r="A24" s="182" t="s">
        <v>72</v>
      </c>
      <c r="B24" s="182"/>
      <c r="C24" s="41">
        <f t="shared" si="0"/>
        <v>5.2460912859942477E-2</v>
      </c>
      <c r="D24" s="110">
        <v>73943.430724539998</v>
      </c>
      <c r="E24" s="110">
        <v>70257.65025667999</v>
      </c>
      <c r="F24" s="25" t="s">
        <v>119</v>
      </c>
      <c r="G24" s="97"/>
    </row>
    <row r="25" spans="1:7" ht="27">
      <c r="A25" s="182" t="s">
        <v>73</v>
      </c>
      <c r="B25" s="182"/>
      <c r="C25" s="41">
        <f t="shared" si="0"/>
        <v>-5.9305105695597216E-2</v>
      </c>
      <c r="D25" s="110">
        <v>5363.7319500400008</v>
      </c>
      <c r="E25" s="110">
        <v>5701.8827066199974</v>
      </c>
      <c r="F25" s="25" t="s">
        <v>137</v>
      </c>
      <c r="G25" s="97"/>
    </row>
    <row r="26" spans="1:7" ht="27">
      <c r="A26" s="182" t="s">
        <v>74</v>
      </c>
      <c r="B26" s="182"/>
      <c r="C26" s="42">
        <f t="shared" si="0"/>
        <v>0.68545589466553181</v>
      </c>
      <c r="D26" s="110">
        <v>5311.472721539998</v>
      </c>
      <c r="E26" s="110">
        <v>3151.3566972299959</v>
      </c>
      <c r="F26" s="25" t="s">
        <v>123</v>
      </c>
      <c r="G26" s="97"/>
    </row>
    <row r="27" spans="1:7" ht="27">
      <c r="A27" s="182" t="s">
        <v>22</v>
      </c>
      <c r="B27" s="182"/>
      <c r="C27" s="42">
        <f t="shared" si="0"/>
        <v>0.14444404310920334</v>
      </c>
      <c r="D27" s="110">
        <v>27709.512563315002</v>
      </c>
      <c r="E27" s="110">
        <v>24212.203934439938</v>
      </c>
      <c r="F27" s="25" t="s">
        <v>26</v>
      </c>
      <c r="G27" s="97"/>
    </row>
    <row r="28" spans="1:7" ht="27">
      <c r="A28" s="183" t="s">
        <v>23</v>
      </c>
      <c r="B28" s="183"/>
      <c r="C28" s="43">
        <f t="shared" si="0"/>
        <v>6.1047499207687705E-2</v>
      </c>
      <c r="D28" s="40">
        <v>118342.17765115501</v>
      </c>
      <c r="E28" s="40">
        <v>111533.34581111991</v>
      </c>
      <c r="F28" s="15" t="s">
        <v>27</v>
      </c>
      <c r="G28" s="97"/>
    </row>
    <row r="29" spans="1:7" ht="27">
      <c r="A29" s="184" t="s">
        <v>24</v>
      </c>
      <c r="B29" s="184"/>
      <c r="C29" s="44">
        <f t="shared" si="0"/>
        <v>0.19598355014864888</v>
      </c>
      <c r="D29" s="111">
        <v>309208.23589870508</v>
      </c>
      <c r="E29" s="111">
        <v>258538.87025475691</v>
      </c>
      <c r="F29" s="13" t="s">
        <v>28</v>
      </c>
      <c r="G29" s="97"/>
    </row>
    <row r="30" spans="1:7" ht="27">
      <c r="A30" s="11"/>
      <c r="B30" s="11"/>
      <c r="C30" s="11"/>
      <c r="F30" s="10"/>
    </row>
    <row r="31" spans="1:7" ht="27">
      <c r="A31" s="11" t="s">
        <v>20</v>
      </c>
      <c r="B31" s="11"/>
      <c r="C31" s="11"/>
      <c r="F31" s="10" t="s">
        <v>9</v>
      </c>
    </row>
    <row r="34" spans="1:6" ht="35.25">
      <c r="A34" s="53" t="s">
        <v>182</v>
      </c>
      <c r="B34" s="53"/>
      <c r="C34" s="11"/>
      <c r="F34" s="55" t="s">
        <v>180</v>
      </c>
    </row>
    <row r="35" spans="1:6" ht="35.25">
      <c r="A35" s="56" t="s">
        <v>88</v>
      </c>
      <c r="B35" s="56"/>
      <c r="C35" s="11"/>
      <c r="F35" s="10"/>
    </row>
    <row r="36" spans="1:6" ht="27">
      <c r="A36" s="11" t="s">
        <v>40</v>
      </c>
      <c r="B36" s="11"/>
      <c r="C36" s="11"/>
      <c r="F36" s="112" t="s">
        <v>6</v>
      </c>
    </row>
    <row r="37" spans="1:6" ht="32.25">
      <c r="A37" s="158" t="s">
        <v>39</v>
      </c>
      <c r="B37" s="158"/>
      <c r="C37" s="108" t="s">
        <v>90</v>
      </c>
      <c r="D37" s="59" t="s">
        <v>181</v>
      </c>
      <c r="E37" s="59" t="s">
        <v>181</v>
      </c>
      <c r="F37" s="158" t="s">
        <v>8</v>
      </c>
    </row>
    <row r="38" spans="1:6" ht="32.25">
      <c r="A38" s="158"/>
      <c r="B38" s="158"/>
      <c r="C38" s="108" t="s">
        <v>89</v>
      </c>
      <c r="D38" s="59">
        <v>2024</v>
      </c>
      <c r="E38" s="59">
        <v>2023</v>
      </c>
      <c r="F38" s="158"/>
    </row>
    <row r="39" spans="1:6" ht="27">
      <c r="A39" s="181" t="s">
        <v>21</v>
      </c>
      <c r="B39" s="181"/>
      <c r="C39" s="41">
        <v>0.16</v>
      </c>
      <c r="D39" s="35">
        <v>585777.43291586207</v>
      </c>
      <c r="E39" s="35">
        <v>505350.72464962403</v>
      </c>
      <c r="F39" s="4" t="s">
        <v>25</v>
      </c>
    </row>
    <row r="40" spans="1:6" ht="27">
      <c r="A40" s="182" t="s">
        <v>71</v>
      </c>
      <c r="B40" s="182"/>
      <c r="C40" s="42">
        <v>-0.21</v>
      </c>
      <c r="D40" s="110">
        <v>25409.134411450003</v>
      </c>
      <c r="E40" s="110">
        <v>32078.877818189998</v>
      </c>
      <c r="F40" s="25" t="s">
        <v>136</v>
      </c>
    </row>
    <row r="41" spans="1:6" ht="27">
      <c r="A41" s="182" t="s">
        <v>72</v>
      </c>
      <c r="B41" s="182"/>
      <c r="C41" s="42">
        <v>7.0000000000000007E-2</v>
      </c>
      <c r="D41" s="110">
        <v>213971.38886069</v>
      </c>
      <c r="E41" s="110">
        <v>199474.512678</v>
      </c>
      <c r="F41" s="25" t="s">
        <v>119</v>
      </c>
    </row>
    <row r="42" spans="1:6" ht="27">
      <c r="A42" s="182" t="s">
        <v>73</v>
      </c>
      <c r="B42" s="182"/>
      <c r="C42" s="42">
        <v>0.02</v>
      </c>
      <c r="D42" s="110">
        <v>16855.36269419</v>
      </c>
      <c r="E42" s="110">
        <v>16445.690097489998</v>
      </c>
      <c r="F42" s="25" t="s">
        <v>137</v>
      </c>
    </row>
    <row r="43" spans="1:6" ht="27">
      <c r="A43" s="182" t="s">
        <v>74</v>
      </c>
      <c r="B43" s="182"/>
      <c r="C43" s="42">
        <v>0.12</v>
      </c>
      <c r="D43" s="110">
        <v>33507.800911209997</v>
      </c>
      <c r="E43" s="110">
        <v>29895.607213619998</v>
      </c>
      <c r="F43" s="25" t="s">
        <v>123</v>
      </c>
    </row>
    <row r="44" spans="1:6" ht="27">
      <c r="A44" s="182" t="s">
        <v>22</v>
      </c>
      <c r="B44" s="182"/>
      <c r="C44" s="42">
        <v>0.14000000000000001</v>
      </c>
      <c r="D44" s="110">
        <v>80712.308822989988</v>
      </c>
      <c r="E44" s="110">
        <v>71060.550731162963</v>
      </c>
      <c r="F44" s="25" t="s">
        <v>26</v>
      </c>
    </row>
    <row r="45" spans="1:6" ht="27">
      <c r="A45" s="183" t="s">
        <v>23</v>
      </c>
      <c r="B45" s="183"/>
      <c r="C45" s="43">
        <v>0.06</v>
      </c>
      <c r="D45" s="40">
        <v>370455.99570053001</v>
      </c>
      <c r="E45" s="40">
        <v>348955.23853846296</v>
      </c>
      <c r="F45" s="15" t="s">
        <v>27</v>
      </c>
    </row>
    <row r="46" spans="1:6" ht="27">
      <c r="A46" s="12" t="s">
        <v>24</v>
      </c>
      <c r="B46" s="12"/>
      <c r="C46" s="44">
        <v>0.12</v>
      </c>
      <c r="D46" s="111">
        <v>956233.42861639196</v>
      </c>
      <c r="E46" s="111">
        <v>854305.96318808699</v>
      </c>
      <c r="F46" s="13" t="s">
        <v>28</v>
      </c>
    </row>
    <row r="47" spans="1:6" ht="27">
      <c r="A47" s="11"/>
      <c r="B47" s="11"/>
      <c r="C47" s="11"/>
      <c r="F47" s="10"/>
    </row>
    <row r="48" spans="1:6" ht="27">
      <c r="A48" s="11" t="s">
        <v>20</v>
      </c>
      <c r="B48" s="11"/>
      <c r="C48" s="11"/>
      <c r="F48" s="10" t="s">
        <v>9</v>
      </c>
    </row>
    <row r="49" spans="1:6" ht="27">
      <c r="A49" s="33" t="s">
        <v>168</v>
      </c>
      <c r="B49" s="33"/>
      <c r="F49" s="47" t="s">
        <v>169</v>
      </c>
    </row>
  </sheetData>
  <mergeCells count="21">
    <mergeCell ref="A44:B44"/>
    <mergeCell ref="A45:B45"/>
    <mergeCell ref="B5:B6"/>
    <mergeCell ref="A39:B39"/>
    <mergeCell ref="A40:B40"/>
    <mergeCell ref="A41:B41"/>
    <mergeCell ref="A42:B42"/>
    <mergeCell ref="A43:B43"/>
    <mergeCell ref="F37:F38"/>
    <mergeCell ref="F20:F21"/>
    <mergeCell ref="A5:A6"/>
    <mergeCell ref="A20:B21"/>
    <mergeCell ref="A22:B22"/>
    <mergeCell ref="A23:B23"/>
    <mergeCell ref="A24:B24"/>
    <mergeCell ref="A25:B25"/>
    <mergeCell ref="A26:B26"/>
    <mergeCell ref="A27:B27"/>
    <mergeCell ref="A28:B28"/>
    <mergeCell ref="A29:B29"/>
    <mergeCell ref="A37:B3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007F-0144-4610-93DB-52322B2B27BF}">
  <dimension ref="A1:G82"/>
  <sheetViews>
    <sheetView showGridLines="0" showRowColHeaders="0" rightToLeft="1" zoomScale="93" zoomScaleNormal="93" workbookViewId="0">
      <selection activeCell="C6" sqref="C6"/>
    </sheetView>
  </sheetViews>
  <sheetFormatPr defaultRowHeight="14.25"/>
  <cols>
    <col min="1" max="1" width="64.875" customWidth="1"/>
    <col min="2" max="2" width="30.125" customWidth="1"/>
    <col min="3" max="3" width="24.5" customWidth="1"/>
    <col min="4" max="4" width="36.875" customWidth="1"/>
    <col min="5" max="5" width="32.125" customWidth="1"/>
    <col min="6" max="6" width="25.375" customWidth="1"/>
    <col min="7" max="7" width="44.875" customWidth="1"/>
  </cols>
  <sheetData>
    <row r="1" spans="1:6" ht="96" customHeight="1"/>
    <row r="2" spans="1:6" ht="35.25">
      <c r="A2" s="51" t="s">
        <v>10</v>
      </c>
      <c r="B2" s="51"/>
      <c r="C2" s="51"/>
      <c r="F2" s="51" t="s">
        <v>42</v>
      </c>
    </row>
    <row r="3" spans="1:6" ht="35.25">
      <c r="A3" s="48" t="s">
        <v>229</v>
      </c>
      <c r="B3" s="48"/>
      <c r="C3" s="49"/>
      <c r="F3" s="50" t="s">
        <v>232</v>
      </c>
    </row>
    <row r="4" spans="1:6" ht="26.25">
      <c r="A4" s="23" t="s">
        <v>40</v>
      </c>
      <c r="B4" s="23"/>
      <c r="C4" s="23"/>
      <c r="F4" s="6" t="s">
        <v>6</v>
      </c>
    </row>
    <row r="5" spans="1:6" ht="35.25">
      <c r="A5" s="162" t="s">
        <v>38</v>
      </c>
      <c r="B5" s="163" t="s">
        <v>19</v>
      </c>
      <c r="C5" s="145" t="s">
        <v>171</v>
      </c>
      <c r="D5" s="145" t="s">
        <v>166</v>
      </c>
      <c r="E5" s="145" t="s">
        <v>76</v>
      </c>
      <c r="F5" s="164" t="s">
        <v>11</v>
      </c>
    </row>
    <row r="6" spans="1:6" ht="20.100000000000001" customHeight="1">
      <c r="A6" s="162"/>
      <c r="B6" s="163"/>
      <c r="C6" s="145">
        <v>2024</v>
      </c>
      <c r="D6" s="145">
        <v>2024</v>
      </c>
      <c r="E6" s="145">
        <v>2024</v>
      </c>
      <c r="F6" s="164"/>
    </row>
    <row r="7" spans="1:6" ht="27" customHeight="1">
      <c r="A7" s="20" t="s">
        <v>29</v>
      </c>
      <c r="B7" s="35">
        <f t="shared" ref="B7:B14" si="0">SUM(C7:E7)</f>
        <v>415975.03050003003</v>
      </c>
      <c r="C7" s="35">
        <v>138626.83874995002</v>
      </c>
      <c r="D7" s="153">
        <v>139845.36172995999</v>
      </c>
      <c r="E7" s="153">
        <v>137502.83002011999</v>
      </c>
      <c r="F7" s="8" t="s">
        <v>12</v>
      </c>
    </row>
    <row r="8" spans="1:6" ht="26.45" customHeight="1">
      <c r="A8" s="20" t="s">
        <v>77</v>
      </c>
      <c r="B8" s="35">
        <f t="shared" si="0"/>
        <v>218958.59363428995</v>
      </c>
      <c r="C8" s="146">
        <v>82693.593696939963</v>
      </c>
      <c r="D8" s="151">
        <v>75561.024229419971</v>
      </c>
      <c r="E8" s="151">
        <v>60703.975707930011</v>
      </c>
      <c r="F8" s="8" t="s">
        <v>13</v>
      </c>
    </row>
    <row r="9" spans="1:6" ht="26.45" customHeight="1">
      <c r="A9" s="20" t="s">
        <v>78</v>
      </c>
      <c r="B9" s="35">
        <f t="shared" si="0"/>
        <v>32817.356544210001</v>
      </c>
      <c r="C9" s="146">
        <v>11964.70317841</v>
      </c>
      <c r="D9" s="151">
        <v>10783.586373380002</v>
      </c>
      <c r="E9" s="151">
        <v>10069.066992419999</v>
      </c>
      <c r="F9" s="8" t="s">
        <v>14</v>
      </c>
    </row>
    <row r="10" spans="1:6" ht="26.45" customHeight="1">
      <c r="A10" s="20" t="s">
        <v>79</v>
      </c>
      <c r="B10" s="35">
        <f t="shared" si="0"/>
        <v>28744.397455689999</v>
      </c>
      <c r="C10" s="146">
        <v>7437.6477056799995</v>
      </c>
      <c r="D10" s="151">
        <v>12977.37233398</v>
      </c>
      <c r="E10" s="151">
        <v>8329.3774160299999</v>
      </c>
      <c r="F10" s="8" t="s">
        <v>15</v>
      </c>
    </row>
    <row r="11" spans="1:6" ht="26.45" customHeight="1">
      <c r="A11" s="20" t="s">
        <v>80</v>
      </c>
      <c r="B11" s="35">
        <f t="shared" si="0"/>
        <v>2423.9619999899996</v>
      </c>
      <c r="C11" s="146">
        <v>728.67999998999949</v>
      </c>
      <c r="D11" s="151">
        <v>1380.2820000000002</v>
      </c>
      <c r="E11" s="151">
        <v>315</v>
      </c>
      <c r="F11" s="8" t="s">
        <v>16</v>
      </c>
    </row>
    <row r="12" spans="1:6" ht="26.45" customHeight="1">
      <c r="A12" s="20" t="s">
        <v>81</v>
      </c>
      <c r="B12" s="35">
        <f t="shared" si="0"/>
        <v>84185.400448649991</v>
      </c>
      <c r="C12" s="146">
        <v>21129.526008039989</v>
      </c>
      <c r="D12" s="151">
        <v>39208.940359480002</v>
      </c>
      <c r="E12" s="151">
        <v>23846.934081129999</v>
      </c>
      <c r="F12" s="8" t="s">
        <v>17</v>
      </c>
    </row>
    <row r="13" spans="1:6" ht="26.45" customHeight="1">
      <c r="A13" s="20" t="s">
        <v>82</v>
      </c>
      <c r="B13" s="35">
        <f t="shared" si="0"/>
        <v>83481.364875069994</v>
      </c>
      <c r="C13" s="147">
        <v>28712.664239299993</v>
      </c>
      <c r="D13" s="150">
        <v>24218.686962020001</v>
      </c>
      <c r="E13" s="150">
        <v>30550.01367375</v>
      </c>
      <c r="F13" s="8" t="s">
        <v>18</v>
      </c>
    </row>
    <row r="14" spans="1:6" ht="26.45" customHeight="1">
      <c r="A14" s="21" t="s">
        <v>83</v>
      </c>
      <c r="B14" s="35">
        <f t="shared" si="0"/>
        <v>147609.74168117001</v>
      </c>
      <c r="C14" s="147">
        <v>48149.56268302002</v>
      </c>
      <c r="D14" s="150">
        <v>64957.212018479993</v>
      </c>
      <c r="E14" s="150">
        <v>34502.966979669996</v>
      </c>
      <c r="F14" s="17" t="s">
        <v>92</v>
      </c>
    </row>
    <row r="15" spans="1:6" ht="27">
      <c r="A15" s="65" t="s">
        <v>70</v>
      </c>
      <c r="B15" s="154">
        <f>SUM(B7:B14)</f>
        <v>1014195.8471390998</v>
      </c>
      <c r="C15" s="154">
        <f>SUM(C7:C14)</f>
        <v>339443.21626133</v>
      </c>
      <c r="D15" s="154">
        <f>SUM(D7:D14)</f>
        <v>368932.46600671997</v>
      </c>
      <c r="E15" s="154">
        <f>SUM(E7:E14)</f>
        <v>305820.16487104999</v>
      </c>
      <c r="F15" s="19" t="s">
        <v>19</v>
      </c>
    </row>
    <row r="16" spans="1:6" ht="27">
      <c r="A16" s="11"/>
      <c r="B16" s="11"/>
      <c r="E16" s="10"/>
    </row>
    <row r="17" spans="1:7" ht="27">
      <c r="A17" s="11"/>
      <c r="B17" s="11"/>
      <c r="E17" s="10"/>
    </row>
    <row r="18" spans="1:7" ht="28.5" customHeight="1">
      <c r="A18" s="87" t="s">
        <v>231</v>
      </c>
      <c r="B18" s="53"/>
      <c r="C18" s="54"/>
      <c r="D18" s="54"/>
      <c r="E18" s="87" t="s">
        <v>230</v>
      </c>
    </row>
    <row r="19" spans="1:7" ht="20.25" customHeight="1">
      <c r="A19" s="58" t="s">
        <v>87</v>
      </c>
      <c r="B19" s="56"/>
      <c r="C19" s="54"/>
      <c r="D19" s="54"/>
      <c r="E19" s="57"/>
    </row>
    <row r="20" spans="1:7" ht="26.25">
      <c r="A20" s="23" t="s">
        <v>40</v>
      </c>
      <c r="B20" s="23"/>
      <c r="C20" s="23"/>
      <c r="E20" s="6" t="s">
        <v>6</v>
      </c>
    </row>
    <row r="21" spans="1:7" ht="32.25">
      <c r="A21" s="160" t="s">
        <v>38</v>
      </c>
      <c r="B21" s="144" t="s">
        <v>91</v>
      </c>
      <c r="C21" s="66" t="s">
        <v>171</v>
      </c>
      <c r="D21" s="66" t="s">
        <v>171</v>
      </c>
      <c r="E21" s="160" t="s">
        <v>11</v>
      </c>
    </row>
    <row r="22" spans="1:7" ht="32.25">
      <c r="A22" s="160"/>
      <c r="B22" s="144" t="s">
        <v>89</v>
      </c>
      <c r="C22" s="144">
        <v>2024</v>
      </c>
      <c r="D22" s="66">
        <v>2023</v>
      </c>
      <c r="E22" s="160"/>
    </row>
    <row r="23" spans="1:7" ht="27">
      <c r="A23" s="20" t="s">
        <v>29</v>
      </c>
      <c r="B23" s="41">
        <f t="shared" ref="B23:B31" si="1">C23/D23-1</f>
        <v>6.1478575008649727E-2</v>
      </c>
      <c r="C23" s="153">
        <v>138626.83874995002</v>
      </c>
      <c r="D23" s="35">
        <v>130597.86793041998</v>
      </c>
      <c r="E23" s="8" t="s">
        <v>12</v>
      </c>
      <c r="F23" s="97"/>
    </row>
    <row r="24" spans="1:7" ht="27">
      <c r="A24" s="20" t="s">
        <v>30</v>
      </c>
      <c r="B24" s="41">
        <f t="shared" si="1"/>
        <v>0.15289579882175519</v>
      </c>
      <c r="C24" s="151">
        <v>82693.593696939963</v>
      </c>
      <c r="D24" s="35">
        <v>71726.858386899985</v>
      </c>
      <c r="E24" s="8" t="s">
        <v>13</v>
      </c>
      <c r="F24" s="97"/>
    </row>
    <row r="25" spans="1:7" ht="27">
      <c r="A25" s="20" t="s">
        <v>31</v>
      </c>
      <c r="B25" s="41">
        <f t="shared" si="1"/>
        <v>0.24950058771171824</v>
      </c>
      <c r="C25" s="151">
        <v>11964.70317841</v>
      </c>
      <c r="D25" s="35">
        <v>9575.5882758900043</v>
      </c>
      <c r="E25" s="8" t="s">
        <v>14</v>
      </c>
      <c r="F25" s="97"/>
    </row>
    <row r="26" spans="1:7" ht="27">
      <c r="A26" s="20" t="s">
        <v>32</v>
      </c>
      <c r="B26" s="41">
        <f t="shared" si="1"/>
        <v>0.99705494044033705</v>
      </c>
      <c r="C26" s="151">
        <v>7437.6477056799995</v>
      </c>
      <c r="D26" s="35">
        <v>3724.3080072899993</v>
      </c>
      <c r="E26" s="8" t="s">
        <v>15</v>
      </c>
      <c r="F26" s="97"/>
    </row>
    <row r="27" spans="1:7" ht="27">
      <c r="A27" s="20" t="s">
        <v>33</v>
      </c>
      <c r="B27" s="41">
        <f t="shared" si="1"/>
        <v>-8.5782191880454883E-2</v>
      </c>
      <c r="C27" s="151">
        <v>728.67999998999949</v>
      </c>
      <c r="D27" s="35">
        <v>797.0529489999999</v>
      </c>
      <c r="E27" s="8" t="s">
        <v>16</v>
      </c>
      <c r="F27" s="152"/>
      <c r="G27" s="152"/>
    </row>
    <row r="28" spans="1:7" ht="27">
      <c r="A28" s="20" t="s">
        <v>34</v>
      </c>
      <c r="B28" s="41">
        <f t="shared" si="1"/>
        <v>0.19617219112055784</v>
      </c>
      <c r="C28" s="151">
        <v>21129.526008039989</v>
      </c>
      <c r="D28" s="35">
        <v>17664.284594550001</v>
      </c>
      <c r="E28" s="8" t="s">
        <v>17</v>
      </c>
      <c r="F28" s="97"/>
    </row>
    <row r="29" spans="1:7" ht="27">
      <c r="A29" s="20" t="s">
        <v>35</v>
      </c>
      <c r="B29" s="41">
        <f t="shared" si="1"/>
        <v>0.50877793097497714</v>
      </c>
      <c r="C29" s="150">
        <v>28712.664239299993</v>
      </c>
      <c r="D29" s="35">
        <v>19030.411069669994</v>
      </c>
      <c r="E29" s="8" t="s">
        <v>18</v>
      </c>
      <c r="F29" s="97"/>
    </row>
    <row r="30" spans="1:7" ht="27">
      <c r="A30" s="21" t="s">
        <v>36</v>
      </c>
      <c r="B30" s="185">
        <f t="shared" si="1"/>
        <v>0.16882276461126455</v>
      </c>
      <c r="C30" s="150">
        <v>48149.56268302002</v>
      </c>
      <c r="D30" s="45">
        <v>41194.92205393</v>
      </c>
      <c r="E30" s="17" t="s">
        <v>92</v>
      </c>
      <c r="F30" s="97"/>
    </row>
    <row r="31" spans="1:7" ht="27">
      <c r="A31" s="18" t="s">
        <v>24</v>
      </c>
      <c r="B31" s="46">
        <f t="shared" si="1"/>
        <v>0.15334757457858261</v>
      </c>
      <c r="C31" s="148">
        <v>339443.21626133</v>
      </c>
      <c r="D31" s="148">
        <f>SUM(D23:D30)</f>
        <v>294311.29326764995</v>
      </c>
      <c r="E31" s="19" t="s">
        <v>19</v>
      </c>
    </row>
    <row r="32" spans="1:7" ht="27">
      <c r="A32" s="11"/>
      <c r="B32" s="11"/>
      <c r="D32" s="45"/>
      <c r="E32" s="10"/>
    </row>
    <row r="33" spans="1:5" ht="27">
      <c r="A33" s="11"/>
      <c r="B33" s="11"/>
      <c r="D33" s="45"/>
      <c r="E33" s="10"/>
    </row>
    <row r="34" spans="1:5" ht="42.75" customHeight="1">
      <c r="A34" s="87" t="s">
        <v>229</v>
      </c>
      <c r="B34" s="88"/>
      <c r="C34" s="88"/>
      <c r="E34" s="87" t="s">
        <v>228</v>
      </c>
    </row>
    <row r="35" spans="1:5" ht="35.25">
      <c r="A35" s="58" t="s">
        <v>87</v>
      </c>
    </row>
    <row r="36" spans="1:5" ht="26.25">
      <c r="A36" s="23" t="s">
        <v>40</v>
      </c>
      <c r="E36" s="6" t="s">
        <v>6</v>
      </c>
    </row>
    <row r="37" spans="1:5" ht="105.6" customHeight="1">
      <c r="A37" s="160" t="s">
        <v>38</v>
      </c>
      <c r="B37" s="144" t="s">
        <v>91</v>
      </c>
      <c r="C37" s="66" t="s">
        <v>181</v>
      </c>
      <c r="D37" s="66" t="s">
        <v>181</v>
      </c>
      <c r="E37" s="160" t="s">
        <v>11</v>
      </c>
    </row>
    <row r="38" spans="1:5" ht="32.25">
      <c r="A38" s="160"/>
      <c r="B38" s="144" t="s">
        <v>89</v>
      </c>
      <c r="C38" s="144">
        <v>2024</v>
      </c>
      <c r="D38" s="144">
        <v>2023</v>
      </c>
      <c r="E38" s="160"/>
    </row>
    <row r="39" spans="1:5" ht="27">
      <c r="A39" s="20" t="s">
        <v>29</v>
      </c>
      <c r="B39" s="41">
        <f t="shared" ref="B39:B47" si="2">C39/D39-1</f>
        <v>4.8997959914526934E-2</v>
      </c>
      <c r="C39" s="35">
        <v>415975.03050003003</v>
      </c>
      <c r="D39" s="35">
        <v>396545.12820399</v>
      </c>
      <c r="E39" s="8" t="s">
        <v>12</v>
      </c>
    </row>
    <row r="40" spans="1:5" ht="27">
      <c r="A40" s="20" t="s">
        <v>30</v>
      </c>
      <c r="B40" s="41">
        <f t="shared" si="2"/>
        <v>0.16535331823969845</v>
      </c>
      <c r="C40" s="146">
        <v>218958.59363428995</v>
      </c>
      <c r="D40" s="35">
        <v>187890.30777810249</v>
      </c>
      <c r="E40" s="8" t="s">
        <v>13</v>
      </c>
    </row>
    <row r="41" spans="1:5" ht="27">
      <c r="A41" s="20" t="s">
        <v>31</v>
      </c>
      <c r="B41" s="41">
        <f t="shared" si="2"/>
        <v>0.16337872633564543</v>
      </c>
      <c r="C41" s="146">
        <v>32817.356544210001</v>
      </c>
      <c r="D41" s="35">
        <v>28208.661376830001</v>
      </c>
      <c r="E41" s="8" t="s">
        <v>14</v>
      </c>
    </row>
    <row r="42" spans="1:5" ht="27">
      <c r="A42" s="20" t="s">
        <v>32</v>
      </c>
      <c r="B42" s="41">
        <f t="shared" si="2"/>
        <v>0.64244442636907029</v>
      </c>
      <c r="C42" s="146">
        <v>28744.397455689999</v>
      </c>
      <c r="D42" s="35">
        <v>17500.98633123</v>
      </c>
      <c r="E42" s="8" t="s">
        <v>15</v>
      </c>
    </row>
    <row r="43" spans="1:5" ht="27">
      <c r="A43" s="20" t="s">
        <v>33</v>
      </c>
      <c r="B43" s="41">
        <f t="shared" si="2"/>
        <v>-0.39932843015988218</v>
      </c>
      <c r="C43" s="146">
        <v>2423.9619999899996</v>
      </c>
      <c r="D43" s="35">
        <v>4035.4198895</v>
      </c>
      <c r="E43" s="8" t="s">
        <v>16</v>
      </c>
    </row>
    <row r="44" spans="1:5" ht="27">
      <c r="A44" s="20" t="s">
        <v>34</v>
      </c>
      <c r="B44" s="41">
        <f t="shared" si="2"/>
        <v>0.10915388314097552</v>
      </c>
      <c r="C44" s="146">
        <v>84185.400448649991</v>
      </c>
      <c r="D44" s="35">
        <v>75900.55963222</v>
      </c>
      <c r="E44" s="8" t="s">
        <v>17</v>
      </c>
    </row>
    <row r="45" spans="1:5" ht="27">
      <c r="A45" s="20" t="s">
        <v>35</v>
      </c>
      <c r="B45" s="41">
        <f t="shared" si="2"/>
        <v>7.6879437104482307E-2</v>
      </c>
      <c r="C45" s="146">
        <v>83481.364875069994</v>
      </c>
      <c r="D45" s="35">
        <v>77521.551622839994</v>
      </c>
      <c r="E45" s="8" t="s">
        <v>18</v>
      </c>
    </row>
    <row r="46" spans="1:5" ht="27">
      <c r="A46" s="21" t="s">
        <v>36</v>
      </c>
      <c r="B46" s="43">
        <f t="shared" si="2"/>
        <v>0.33396901589043071</v>
      </c>
      <c r="C46" s="147">
        <v>147609.74168117001</v>
      </c>
      <c r="D46" s="45">
        <v>110654.55038522001</v>
      </c>
      <c r="E46" s="17" t="s">
        <v>227</v>
      </c>
    </row>
    <row r="47" spans="1:5" ht="27">
      <c r="A47" s="18" t="s">
        <v>24</v>
      </c>
      <c r="B47" s="46">
        <f t="shared" si="2"/>
        <v>0.12907070091757133</v>
      </c>
      <c r="C47" s="148">
        <f>SUM(C39:C46)</f>
        <v>1014195.8471390998</v>
      </c>
      <c r="D47" s="148">
        <f>SUM(D39:D46)</f>
        <v>898257.16521993245</v>
      </c>
      <c r="E47" s="19" t="s">
        <v>19</v>
      </c>
    </row>
    <row r="48" spans="1:5" ht="27">
      <c r="A48" s="11"/>
      <c r="B48" s="11"/>
      <c r="D48" s="45"/>
      <c r="E48" s="10"/>
    </row>
    <row r="49" spans="1:7" ht="27">
      <c r="A49" s="11"/>
      <c r="B49" s="11"/>
      <c r="E49" s="10"/>
    </row>
    <row r="50" spans="1:7" ht="39.75">
      <c r="A50" s="87" t="s">
        <v>43</v>
      </c>
      <c r="B50" s="88"/>
      <c r="C50" s="88"/>
      <c r="D50" s="88"/>
      <c r="E50" s="88"/>
      <c r="G50" s="51" t="s">
        <v>42</v>
      </c>
    </row>
    <row r="51" spans="1:7" ht="35.25">
      <c r="A51" s="81" t="s">
        <v>233</v>
      </c>
      <c r="G51" s="81" t="s">
        <v>226</v>
      </c>
    </row>
    <row r="52" spans="1:7" ht="26.25">
      <c r="A52" s="23" t="s">
        <v>40</v>
      </c>
      <c r="G52" s="6" t="s">
        <v>6</v>
      </c>
    </row>
    <row r="53" spans="1:7" ht="108">
      <c r="A53" s="160" t="s">
        <v>37</v>
      </c>
      <c r="B53" s="16" t="s">
        <v>225</v>
      </c>
      <c r="C53" s="16" t="s">
        <v>224</v>
      </c>
      <c r="D53" s="16" t="s">
        <v>84</v>
      </c>
      <c r="E53" s="16" t="s">
        <v>223</v>
      </c>
      <c r="F53" s="16" t="s">
        <v>235</v>
      </c>
      <c r="G53" s="161" t="s">
        <v>44</v>
      </c>
    </row>
    <row r="54" spans="1:7" ht="54">
      <c r="A54" s="160"/>
      <c r="B54" s="16" t="s">
        <v>222</v>
      </c>
      <c r="C54" s="16" t="s">
        <v>221</v>
      </c>
      <c r="D54" s="16" t="s">
        <v>86</v>
      </c>
      <c r="E54" s="16" t="s">
        <v>220</v>
      </c>
      <c r="F54" s="16" t="s">
        <v>85</v>
      </c>
      <c r="G54" s="161"/>
    </row>
    <row r="55" spans="1:7" ht="27">
      <c r="A55" s="20" t="s">
        <v>54</v>
      </c>
      <c r="B55" s="35">
        <v>42652.8586965828</v>
      </c>
      <c r="C55" s="35">
        <v>39982.615632349982</v>
      </c>
      <c r="D55" s="41">
        <f t="shared" ref="D55:D64" si="3">C55/B55</f>
        <v>0.93739591797989497</v>
      </c>
      <c r="E55" s="35">
        <v>31663.654801345001</v>
      </c>
      <c r="F55" s="41">
        <f t="shared" ref="F55:F64" si="4">C55/E55-1</f>
        <v>0.26272901480253652</v>
      </c>
      <c r="G55" s="8" t="s">
        <v>45</v>
      </c>
    </row>
    <row r="56" spans="1:7" ht="27">
      <c r="A56" s="20" t="s">
        <v>55</v>
      </c>
      <c r="B56" s="35">
        <v>269048.79608637997</v>
      </c>
      <c r="C56" s="35">
        <v>176064.19784363007</v>
      </c>
      <c r="D56" s="41">
        <f t="shared" si="3"/>
        <v>0.65439504061970766</v>
      </c>
      <c r="E56" s="35">
        <v>173537.68327448252</v>
      </c>
      <c r="F56" s="41">
        <f t="shared" si="4"/>
        <v>1.4558881514808553E-2</v>
      </c>
      <c r="G56" s="8" t="s">
        <v>46</v>
      </c>
    </row>
    <row r="57" spans="1:7" ht="27">
      <c r="A57" s="20" t="s">
        <v>56</v>
      </c>
      <c r="B57" s="35">
        <v>112181.06531699999</v>
      </c>
      <c r="C57" s="35">
        <v>92492.135804970108</v>
      </c>
      <c r="D57" s="41">
        <f t="shared" si="3"/>
        <v>0.82448972599437242</v>
      </c>
      <c r="E57" s="35">
        <v>83298.983795799999</v>
      </c>
      <c r="F57" s="41">
        <f t="shared" si="4"/>
        <v>0.11036331525611764</v>
      </c>
      <c r="G57" s="8" t="s">
        <v>47</v>
      </c>
    </row>
    <row r="58" spans="1:7" ht="27">
      <c r="A58" s="20" t="s">
        <v>57</v>
      </c>
      <c r="B58" s="35">
        <v>81218.038923614629</v>
      </c>
      <c r="C58" s="35">
        <v>81442.311603740018</v>
      </c>
      <c r="D58" s="41">
        <f t="shared" si="3"/>
        <v>1.0027613653702758</v>
      </c>
      <c r="E58" s="35">
        <v>45481.510767979998</v>
      </c>
      <c r="F58" s="41">
        <f t="shared" si="4"/>
        <v>0.79066856462202728</v>
      </c>
      <c r="G58" s="8" t="s">
        <v>48</v>
      </c>
    </row>
    <row r="59" spans="1:7" ht="27">
      <c r="A59" s="20" t="s">
        <v>58</v>
      </c>
      <c r="B59" s="35">
        <v>195062.34310132638</v>
      </c>
      <c r="C59" s="35">
        <v>151122.99131591004</v>
      </c>
      <c r="D59" s="41">
        <f t="shared" si="3"/>
        <v>0.77474200767396828</v>
      </c>
      <c r="E59" s="35">
        <v>151859.70699547004</v>
      </c>
      <c r="F59" s="149">
        <f t="shared" si="4"/>
        <v>-4.8512913276066438E-3</v>
      </c>
      <c r="G59" s="8" t="s">
        <v>49</v>
      </c>
    </row>
    <row r="60" spans="1:7" ht="27">
      <c r="A60" s="20" t="s">
        <v>59</v>
      </c>
      <c r="B60" s="35">
        <v>213743.08231984935</v>
      </c>
      <c r="C60" s="35">
        <v>201006.40954943997</v>
      </c>
      <c r="D60" s="41">
        <f t="shared" si="3"/>
        <v>0.9404112983111661</v>
      </c>
      <c r="E60" s="35">
        <v>185383.855282695</v>
      </c>
      <c r="F60" s="41">
        <f t="shared" si="4"/>
        <v>8.4271385137189236E-2</v>
      </c>
      <c r="G60" s="8" t="s">
        <v>50</v>
      </c>
    </row>
    <row r="61" spans="1:7" ht="27">
      <c r="A61" s="20" t="s">
        <v>60</v>
      </c>
      <c r="B61" s="35">
        <v>83660.604617000005</v>
      </c>
      <c r="C61" s="35">
        <v>67080.937273579999</v>
      </c>
      <c r="D61" s="41">
        <f t="shared" si="3"/>
        <v>0.80182228637574315</v>
      </c>
      <c r="E61" s="35">
        <v>52201.955134999997</v>
      </c>
      <c r="F61" s="41">
        <f t="shared" si="4"/>
        <v>0.28502729639342661</v>
      </c>
      <c r="G61" s="8" t="s">
        <v>51</v>
      </c>
    </row>
    <row r="62" spans="1:7" ht="27">
      <c r="A62" s="20" t="s">
        <v>62</v>
      </c>
      <c r="B62" s="35">
        <v>37885.965271000001</v>
      </c>
      <c r="C62" s="35">
        <v>31973.187149190002</v>
      </c>
      <c r="D62" s="41">
        <f t="shared" si="3"/>
        <v>0.84393222979761418</v>
      </c>
      <c r="E62" s="35">
        <v>27166.60546875</v>
      </c>
      <c r="F62" s="41">
        <f t="shared" si="4"/>
        <v>0.17692978557696715</v>
      </c>
      <c r="G62" s="8" t="s">
        <v>52</v>
      </c>
    </row>
    <row r="63" spans="1:7" ht="27">
      <c r="A63" s="20" t="s">
        <v>61</v>
      </c>
      <c r="B63" s="35">
        <v>215547.24566694221</v>
      </c>
      <c r="C63" s="35">
        <v>173031.0609662896</v>
      </c>
      <c r="D63" s="41">
        <f t="shared" si="3"/>
        <v>0.80275236378409831</v>
      </c>
      <c r="E63" s="35">
        <v>147663.20969840998</v>
      </c>
      <c r="F63" s="41">
        <f t="shared" si="4"/>
        <v>0.17179533967662897</v>
      </c>
      <c r="G63" s="8" t="s">
        <v>53</v>
      </c>
    </row>
    <row r="64" spans="1:7" ht="27">
      <c r="A64" s="18" t="s">
        <v>24</v>
      </c>
      <c r="B64" s="148">
        <f>SUM(B55:B63)</f>
        <v>1250999.9999996952</v>
      </c>
      <c r="C64" s="148">
        <f>SUM(C55:C63)</f>
        <v>1014195.8471390998</v>
      </c>
      <c r="D64" s="46">
        <f t="shared" si="3"/>
        <v>0.81070811122249953</v>
      </c>
      <c r="E64" s="148">
        <f>SUM(E55:E63)</f>
        <v>898257.16521993256</v>
      </c>
      <c r="F64" s="46">
        <f t="shared" si="4"/>
        <v>0.12907070091757133</v>
      </c>
      <c r="G64" s="19" t="s">
        <v>19</v>
      </c>
    </row>
    <row r="65" spans="1:7" ht="27">
      <c r="A65" s="11"/>
      <c r="B65" s="11"/>
      <c r="C65" s="11"/>
      <c r="D65" s="98"/>
      <c r="E65" s="10"/>
    </row>
    <row r="66" spans="1:7" ht="27">
      <c r="A66" s="11" t="s">
        <v>20</v>
      </c>
      <c r="B66" s="11"/>
      <c r="C66" s="11"/>
      <c r="D66" s="98"/>
      <c r="G66" s="10" t="s">
        <v>9</v>
      </c>
    </row>
    <row r="67" spans="1:7" ht="27">
      <c r="A67" s="11"/>
      <c r="B67" s="11"/>
      <c r="D67" s="98"/>
      <c r="E67" s="10"/>
    </row>
    <row r="68" spans="1:7" ht="27">
      <c r="A68" s="33" t="s">
        <v>168</v>
      </c>
      <c r="D68" s="98"/>
      <c r="G68" s="47" t="s">
        <v>169</v>
      </c>
    </row>
    <row r="69" spans="1:7">
      <c r="D69" s="98"/>
    </row>
    <row r="70" spans="1:7">
      <c r="D70" s="98"/>
      <c r="F70" s="98"/>
    </row>
    <row r="71" spans="1:7">
      <c r="D71" s="98"/>
      <c r="F71" s="98"/>
    </row>
    <row r="72" spans="1:7">
      <c r="D72" s="98"/>
      <c r="F72" s="98"/>
    </row>
    <row r="73" spans="1:7">
      <c r="D73" s="98"/>
      <c r="F73" s="98"/>
    </row>
    <row r="74" spans="1:7">
      <c r="D74" s="98"/>
      <c r="F74" s="98"/>
    </row>
    <row r="75" spans="1:7">
      <c r="F75" s="98"/>
    </row>
    <row r="76" spans="1:7">
      <c r="F76" s="98"/>
    </row>
    <row r="77" spans="1:7">
      <c r="F77" s="98"/>
    </row>
    <row r="78" spans="1:7">
      <c r="F78" s="98"/>
    </row>
    <row r="79" spans="1:7">
      <c r="F79" s="98"/>
    </row>
    <row r="80" spans="1:7">
      <c r="F80" s="97"/>
    </row>
    <row r="81" spans="6:6">
      <c r="F81" s="97"/>
    </row>
    <row r="82" spans="6:6">
      <c r="F82" s="97"/>
    </row>
  </sheetData>
  <mergeCells count="9">
    <mergeCell ref="A53:A54"/>
    <mergeCell ref="G53:G54"/>
    <mergeCell ref="A37:A38"/>
    <mergeCell ref="E37:E38"/>
    <mergeCell ref="A5:A6"/>
    <mergeCell ref="B5:B6"/>
    <mergeCell ref="A21:A22"/>
    <mergeCell ref="E21:E22"/>
    <mergeCell ref="F5:F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5BC7A-B5EC-48FF-9424-6FB8996D1FCC}">
  <dimension ref="A1:F14"/>
  <sheetViews>
    <sheetView showGridLines="0" rightToLeft="1" zoomScale="70" zoomScaleNormal="70" workbookViewId="0">
      <selection activeCell="D7" sqref="D7"/>
    </sheetView>
  </sheetViews>
  <sheetFormatPr defaultRowHeight="14.25"/>
  <cols>
    <col min="1" max="6" width="46.875" customWidth="1"/>
  </cols>
  <sheetData>
    <row r="1" spans="1:6" ht="96" customHeight="1"/>
    <row r="2" spans="1:6" ht="31.5">
      <c r="A2" s="130" t="s">
        <v>196</v>
      </c>
      <c r="B2" s="130"/>
      <c r="C2" s="130"/>
      <c r="D2" s="130"/>
      <c r="E2" s="32"/>
      <c r="F2" s="130" t="s">
        <v>148</v>
      </c>
    </row>
    <row r="3" spans="1:6" s="83" customFormat="1" ht="27">
      <c r="A3" s="82" t="s">
        <v>213</v>
      </c>
      <c r="B3" s="82"/>
      <c r="C3" s="82"/>
      <c r="D3" s="82"/>
      <c r="F3" s="82" t="s">
        <v>214</v>
      </c>
    </row>
    <row r="4" spans="1:6" ht="26.25">
      <c r="A4" s="23" t="s">
        <v>40</v>
      </c>
      <c r="B4" s="23"/>
      <c r="C4" s="23"/>
      <c r="D4" s="23"/>
      <c r="F4" s="26" t="s">
        <v>6</v>
      </c>
    </row>
    <row r="5" spans="1:6" ht="20.100000000000001" customHeight="1">
      <c r="A5" s="160" t="s">
        <v>0</v>
      </c>
      <c r="B5" s="160" t="s">
        <v>19</v>
      </c>
      <c r="C5" s="160" t="s">
        <v>212</v>
      </c>
      <c r="D5" s="160" t="s">
        <v>195</v>
      </c>
      <c r="E5" s="160" t="s">
        <v>194</v>
      </c>
      <c r="F5" s="160" t="s">
        <v>63</v>
      </c>
    </row>
    <row r="6" spans="1:6" ht="20.100000000000001" customHeight="1">
      <c r="A6" s="160"/>
      <c r="B6" s="160"/>
      <c r="C6" s="160"/>
      <c r="D6" s="160"/>
      <c r="E6" s="160"/>
      <c r="F6" s="160"/>
    </row>
    <row r="7" spans="1:6" ht="27">
      <c r="A7" s="129" t="s">
        <v>193</v>
      </c>
      <c r="B7" s="128">
        <v>-57962.418522707885</v>
      </c>
      <c r="C7" s="128">
        <v>-30234.98036262492</v>
      </c>
      <c r="D7" s="128">
        <v>-15340.637056844949</v>
      </c>
      <c r="E7" s="128">
        <v>-12386.801103238</v>
      </c>
      <c r="F7" s="127" t="s">
        <v>145</v>
      </c>
    </row>
    <row r="8" spans="1:6" ht="27">
      <c r="A8" s="125" t="s">
        <v>64</v>
      </c>
      <c r="B8" s="125"/>
      <c r="C8" s="125"/>
      <c r="D8" s="124"/>
      <c r="E8" s="124"/>
      <c r="F8" s="123" t="s">
        <v>192</v>
      </c>
    </row>
    <row r="9" spans="1:6" ht="27">
      <c r="A9" s="20" t="s">
        <v>191</v>
      </c>
      <c r="B9" s="126">
        <v>0</v>
      </c>
      <c r="C9" s="126">
        <v>0</v>
      </c>
      <c r="D9" s="35">
        <v>0</v>
      </c>
      <c r="E9" s="35">
        <v>0</v>
      </c>
      <c r="F9" s="8" t="s">
        <v>190</v>
      </c>
    </row>
    <row r="10" spans="1:6" ht="27">
      <c r="A10" s="20" t="s">
        <v>189</v>
      </c>
      <c r="B10" s="45">
        <v>57962</v>
      </c>
      <c r="C10" s="45">
        <v>30235</v>
      </c>
      <c r="D10" s="45">
        <v>15341</v>
      </c>
      <c r="E10" s="45">
        <v>12387</v>
      </c>
      <c r="F10" s="8" t="s">
        <v>188</v>
      </c>
    </row>
    <row r="11" spans="1:6" ht="27">
      <c r="A11" s="125" t="s">
        <v>187</v>
      </c>
      <c r="B11" s="124">
        <v>57962</v>
      </c>
      <c r="C11" s="124">
        <v>30235</v>
      </c>
      <c r="D11" s="124">
        <v>15341</v>
      </c>
      <c r="E11" s="124">
        <v>12387</v>
      </c>
      <c r="F11" s="123" t="s">
        <v>186</v>
      </c>
    </row>
    <row r="14" spans="1:6" ht="27">
      <c r="A14" s="33" t="s">
        <v>173</v>
      </c>
      <c r="B14" s="33"/>
      <c r="C14" s="33"/>
      <c r="D14" s="33"/>
      <c r="F14" s="47" t="s">
        <v>169</v>
      </c>
    </row>
  </sheetData>
  <mergeCells count="6">
    <mergeCell ref="A5:A6"/>
    <mergeCell ref="B5:B6"/>
    <mergeCell ref="D5:D6"/>
    <mergeCell ref="E5:E6"/>
    <mergeCell ref="F5:F6"/>
    <mergeCell ref="C5:C6"/>
  </mergeCells>
  <phoneticPr fontId="54" type="noConversion"/>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AF350-54A1-4E29-97B7-E7BE27769131}">
  <dimension ref="A1:F13"/>
  <sheetViews>
    <sheetView showGridLines="0" showRowColHeaders="0" rightToLeft="1" zoomScale="77" zoomScaleNormal="90" workbookViewId="0">
      <selection activeCell="C14" sqref="C14"/>
    </sheetView>
  </sheetViews>
  <sheetFormatPr defaultRowHeight="14.25"/>
  <cols>
    <col min="1" max="3" width="60.875" customWidth="1"/>
  </cols>
  <sheetData>
    <row r="1" spans="1:6" ht="96" customHeight="1"/>
    <row r="2" spans="1:6" ht="35.25">
      <c r="A2" s="99" t="s">
        <v>149</v>
      </c>
      <c r="C2" s="51" t="s">
        <v>150</v>
      </c>
    </row>
    <row r="3" spans="1:6" s="83" customFormat="1" ht="27">
      <c r="A3" s="82" t="s">
        <v>172</v>
      </c>
      <c r="C3" s="82" t="s">
        <v>177</v>
      </c>
    </row>
    <row r="4" spans="1:6" ht="26.25">
      <c r="A4" s="23" t="s">
        <v>40</v>
      </c>
      <c r="C4" s="26" t="s">
        <v>6</v>
      </c>
    </row>
    <row r="5" spans="1:6" ht="32.25" customHeight="1">
      <c r="A5" s="165" t="s">
        <v>151</v>
      </c>
      <c r="B5" s="165"/>
      <c r="C5" s="165"/>
    </row>
    <row r="6" spans="1:6" ht="32.25" customHeight="1">
      <c r="A6" s="165" t="s">
        <v>152</v>
      </c>
      <c r="B6" s="165"/>
      <c r="C6" s="165"/>
    </row>
    <row r="7" spans="1:6" ht="32.25">
      <c r="A7" s="100" t="s">
        <v>153</v>
      </c>
      <c r="B7" s="101">
        <v>390079</v>
      </c>
      <c r="C7" s="102" t="s">
        <v>67</v>
      </c>
    </row>
    <row r="8" spans="1:6" ht="32.25">
      <c r="A8" s="165" t="s">
        <v>165</v>
      </c>
      <c r="B8" s="165"/>
      <c r="C8" s="165"/>
    </row>
    <row r="9" spans="1:6" ht="32.25">
      <c r="A9" s="165" t="s">
        <v>164</v>
      </c>
      <c r="B9" s="165"/>
      <c r="C9" s="165"/>
    </row>
    <row r="10" spans="1:6" ht="32.25">
      <c r="A10" s="103" t="s">
        <v>153</v>
      </c>
      <c r="B10" s="106">
        <v>76675</v>
      </c>
      <c r="C10" s="104" t="s">
        <v>67</v>
      </c>
    </row>
    <row r="13" spans="1:6" ht="27">
      <c r="A13" s="105" t="s">
        <v>173</v>
      </c>
      <c r="C13" s="47" t="s">
        <v>236</v>
      </c>
      <c r="D13" s="47"/>
      <c r="E13" s="33"/>
      <c r="F13" s="33"/>
    </row>
  </sheetData>
  <mergeCells count="4">
    <mergeCell ref="A5:C5"/>
    <mergeCell ref="A6:C6"/>
    <mergeCell ref="A8:C8"/>
    <mergeCell ref="A9:C9"/>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F6B7-FDDB-4745-8A80-8F9898DE2A43}">
  <dimension ref="A1:F21"/>
  <sheetViews>
    <sheetView showGridLines="0" rightToLeft="1" zoomScale="90" zoomScaleNormal="90" workbookViewId="0">
      <selection activeCell="C10" sqref="C10"/>
    </sheetView>
  </sheetViews>
  <sheetFormatPr defaultRowHeight="14.25"/>
  <cols>
    <col min="1" max="1" width="7" customWidth="1"/>
    <col min="2" max="2" width="41.625" customWidth="1"/>
    <col min="3" max="4" width="22.5" customWidth="1"/>
    <col min="5" max="5" width="41.625" customWidth="1"/>
    <col min="6" max="6" width="7" customWidth="1"/>
  </cols>
  <sheetData>
    <row r="1" spans="1:6" ht="96" customHeight="1"/>
    <row r="2" spans="1:6" ht="39.75">
      <c r="A2" s="22" t="s">
        <v>211</v>
      </c>
      <c r="F2" s="22" t="s">
        <v>66</v>
      </c>
    </row>
    <row r="3" spans="1:6" ht="26.25">
      <c r="A3" s="143" t="s">
        <v>217</v>
      </c>
      <c r="F3" s="142" t="s">
        <v>216</v>
      </c>
    </row>
    <row r="4" spans="1:6" ht="26.25">
      <c r="A4" s="23" t="s">
        <v>40</v>
      </c>
      <c r="F4" s="26" t="s">
        <v>6</v>
      </c>
    </row>
    <row r="5" spans="1:6" ht="27" customHeight="1">
      <c r="A5" s="166" t="s">
        <v>65</v>
      </c>
      <c r="B5" s="169" t="s">
        <v>0</v>
      </c>
      <c r="C5" s="141" t="s">
        <v>210</v>
      </c>
      <c r="D5" s="141" t="s">
        <v>209</v>
      </c>
      <c r="E5" s="178" t="s">
        <v>63</v>
      </c>
      <c r="F5" s="166" t="s">
        <v>66</v>
      </c>
    </row>
    <row r="6" spans="1:6" ht="27" customHeight="1">
      <c r="A6" s="167"/>
      <c r="B6" s="170"/>
      <c r="C6" s="140" t="s">
        <v>208</v>
      </c>
      <c r="D6" s="140" t="s">
        <v>207</v>
      </c>
      <c r="E6" s="179"/>
      <c r="F6" s="167"/>
    </row>
    <row r="7" spans="1:6" ht="27" customHeight="1">
      <c r="A7" s="167"/>
      <c r="B7" s="171" t="s">
        <v>206</v>
      </c>
      <c r="C7" s="177">
        <v>1050282</v>
      </c>
      <c r="D7" s="177"/>
      <c r="E7" s="173" t="s">
        <v>205</v>
      </c>
      <c r="F7" s="167"/>
    </row>
    <row r="8" spans="1:6" ht="27" customHeight="1">
      <c r="A8" s="167"/>
      <c r="B8" s="172"/>
      <c r="C8" s="139">
        <v>644405</v>
      </c>
      <c r="D8" s="139">
        <v>405877</v>
      </c>
      <c r="E8" s="174"/>
      <c r="F8" s="167"/>
    </row>
    <row r="9" spans="1:6" ht="27">
      <c r="A9" s="167"/>
      <c r="B9" s="138" t="s">
        <v>204</v>
      </c>
      <c r="C9" s="35">
        <v>117245</v>
      </c>
      <c r="D9" s="35">
        <v>67811.25</v>
      </c>
      <c r="E9" s="137" t="s">
        <v>203</v>
      </c>
      <c r="F9" s="167"/>
    </row>
    <row r="10" spans="1:6" ht="27">
      <c r="A10" s="167"/>
      <c r="B10" s="136" t="s">
        <v>202</v>
      </c>
      <c r="C10" s="146">
        <v>72932</v>
      </c>
      <c r="D10" s="117">
        <v>4770</v>
      </c>
      <c r="E10" s="135" t="s">
        <v>201</v>
      </c>
      <c r="F10" s="167"/>
    </row>
    <row r="11" spans="1:6" ht="27">
      <c r="A11" s="167"/>
      <c r="B11" s="134" t="s">
        <v>200</v>
      </c>
      <c r="C11" s="118" t="s">
        <v>199</v>
      </c>
      <c r="D11" s="118" t="s">
        <v>199</v>
      </c>
      <c r="E11" s="133" t="s">
        <v>198</v>
      </c>
      <c r="F11" s="167"/>
    </row>
    <row r="12" spans="1:6" ht="27" customHeight="1">
      <c r="A12" s="167"/>
      <c r="B12" s="175" t="s">
        <v>197</v>
      </c>
      <c r="C12" s="132">
        <v>688718</v>
      </c>
      <c r="D12" s="132">
        <v>468918</v>
      </c>
      <c r="E12" s="173" t="s">
        <v>67</v>
      </c>
      <c r="F12" s="167"/>
    </row>
    <row r="13" spans="1:6" ht="27">
      <c r="A13" s="168"/>
      <c r="B13" s="176"/>
      <c r="C13" s="180">
        <v>1157636</v>
      </c>
      <c r="D13" s="180"/>
      <c r="E13" s="174"/>
      <c r="F13" s="168"/>
    </row>
    <row r="16" spans="1:6" ht="27">
      <c r="A16" s="33" t="s">
        <v>215</v>
      </c>
      <c r="F16" s="47" t="s">
        <v>236</v>
      </c>
    </row>
    <row r="21" spans="3:3">
      <c r="C21" s="131"/>
    </row>
  </sheetData>
  <mergeCells count="10">
    <mergeCell ref="A5:A13"/>
    <mergeCell ref="F5:F13"/>
    <mergeCell ref="B5:B6"/>
    <mergeCell ref="B7:B8"/>
    <mergeCell ref="E7:E8"/>
    <mergeCell ref="B12:B13"/>
    <mergeCell ref="E12:E13"/>
    <mergeCell ref="C7:D7"/>
    <mergeCell ref="E5:E6"/>
    <mergeCell ref="C13:D13"/>
  </mergeCells>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9:D27"/>
  <sheetViews>
    <sheetView showGridLines="0" showRowColHeaders="0" rightToLeft="1" zoomScale="50" zoomScaleNormal="50" workbookViewId="0">
      <selection activeCell="A40" sqref="B40"/>
    </sheetView>
  </sheetViews>
  <sheetFormatPr defaultRowHeight="14.25"/>
  <cols>
    <col min="1" max="1" width="38.5" customWidth="1"/>
    <col min="2" max="2" width="95.375" customWidth="1"/>
    <col min="3" max="3" width="77.375" customWidth="1"/>
    <col min="4" max="4" width="40.375" customWidth="1"/>
  </cols>
  <sheetData>
    <row r="9" spans="1:4" s="71" customFormat="1" ht="53.25">
      <c r="A9" s="72" t="s">
        <v>114</v>
      </c>
      <c r="D9" s="89" t="s">
        <v>146</v>
      </c>
    </row>
    <row r="10" spans="1:4" ht="35.25">
      <c r="A10" s="91" t="s">
        <v>115</v>
      </c>
      <c r="D10" s="90" t="s">
        <v>147</v>
      </c>
    </row>
    <row r="13" spans="1:4" ht="24">
      <c r="A13" s="74" t="s">
        <v>96</v>
      </c>
      <c r="B13" s="74" t="s">
        <v>97</v>
      </c>
      <c r="C13" s="74" t="s">
        <v>116</v>
      </c>
      <c r="D13" s="75" t="s">
        <v>63</v>
      </c>
    </row>
    <row r="14" spans="1:4" ht="28.5" customHeight="1">
      <c r="A14" s="76" t="s">
        <v>93</v>
      </c>
      <c r="B14" s="76" t="s">
        <v>98</v>
      </c>
      <c r="C14" s="92" t="s">
        <v>117</v>
      </c>
      <c r="D14" s="92" t="s">
        <v>118</v>
      </c>
    </row>
    <row r="15" spans="1:4" ht="23.25">
      <c r="A15" s="73" t="s">
        <v>72</v>
      </c>
      <c r="B15" s="78" t="s">
        <v>138</v>
      </c>
      <c r="C15" s="93" t="s">
        <v>139</v>
      </c>
      <c r="D15" s="93" t="s">
        <v>119</v>
      </c>
    </row>
    <row r="16" spans="1:4" ht="69.75">
      <c r="A16" s="76" t="s">
        <v>99</v>
      </c>
      <c r="B16" s="76" t="s">
        <v>100</v>
      </c>
      <c r="C16" s="92" t="s">
        <v>120</v>
      </c>
      <c r="D16" s="92" t="s">
        <v>121</v>
      </c>
    </row>
    <row r="17" spans="1:4" ht="23.25">
      <c r="A17" s="73" t="s">
        <v>101</v>
      </c>
      <c r="B17" s="73" t="s">
        <v>102</v>
      </c>
      <c r="C17" s="93" t="s">
        <v>122</v>
      </c>
      <c r="D17" s="93" t="s">
        <v>123</v>
      </c>
    </row>
    <row r="18" spans="1:4" ht="69.75">
      <c r="A18" s="76" t="s">
        <v>22</v>
      </c>
      <c r="B18" s="76" t="s">
        <v>103</v>
      </c>
      <c r="C18" s="92" t="s">
        <v>124</v>
      </c>
      <c r="D18" s="92" t="s">
        <v>26</v>
      </c>
    </row>
    <row r="19" spans="1:4" ht="93">
      <c r="A19" s="73" t="s">
        <v>104</v>
      </c>
      <c r="B19" s="73" t="s">
        <v>105</v>
      </c>
      <c r="C19" s="93" t="s">
        <v>125</v>
      </c>
      <c r="D19" s="93" t="s">
        <v>12</v>
      </c>
    </row>
    <row r="20" spans="1:4" ht="46.5">
      <c r="A20" s="76" t="s">
        <v>77</v>
      </c>
      <c r="B20" s="76" t="s">
        <v>106</v>
      </c>
      <c r="C20" s="92" t="s">
        <v>126</v>
      </c>
      <c r="D20" s="92" t="s">
        <v>13</v>
      </c>
    </row>
    <row r="21" spans="1:4" ht="46.5">
      <c r="A21" s="73" t="s">
        <v>31</v>
      </c>
      <c r="B21" s="73" t="s">
        <v>107</v>
      </c>
      <c r="C21" s="93" t="s">
        <v>127</v>
      </c>
      <c r="D21" s="93" t="s">
        <v>14</v>
      </c>
    </row>
    <row r="22" spans="1:4" ht="69.75">
      <c r="A22" s="76" t="s">
        <v>32</v>
      </c>
      <c r="B22" s="76" t="s">
        <v>108</v>
      </c>
      <c r="C22" s="92" t="s">
        <v>128</v>
      </c>
      <c r="D22" s="92" t="s">
        <v>15</v>
      </c>
    </row>
    <row r="23" spans="1:4" ht="46.5">
      <c r="A23" s="73" t="s">
        <v>33</v>
      </c>
      <c r="B23" s="73" t="s">
        <v>109</v>
      </c>
      <c r="C23" s="93" t="s">
        <v>129</v>
      </c>
      <c r="D23" s="93" t="s">
        <v>130</v>
      </c>
    </row>
    <row r="24" spans="1:4" ht="69.75">
      <c r="A24" s="76" t="s">
        <v>34</v>
      </c>
      <c r="B24" s="76" t="s">
        <v>110</v>
      </c>
      <c r="C24" s="92" t="s">
        <v>131</v>
      </c>
      <c r="D24" s="92" t="s">
        <v>17</v>
      </c>
    </row>
    <row r="25" spans="1:4" ht="69.75">
      <c r="A25" s="73" t="s">
        <v>35</v>
      </c>
      <c r="B25" s="73" t="s">
        <v>111</v>
      </c>
      <c r="C25" s="93" t="s">
        <v>132</v>
      </c>
      <c r="D25" s="93" t="s">
        <v>18</v>
      </c>
    </row>
    <row r="26" spans="1:4" ht="70.5" thickBot="1">
      <c r="A26" s="77" t="s">
        <v>112</v>
      </c>
      <c r="B26" s="77" t="s">
        <v>113</v>
      </c>
      <c r="C26" s="94" t="s">
        <v>133</v>
      </c>
      <c r="D26" s="94" t="s">
        <v>134</v>
      </c>
    </row>
    <row r="27" spans="1:4" ht="15" thickTop="1"/>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11D67FA23CE540BDEE458F89FA0AF8" ma:contentTypeVersion="1" ma:contentTypeDescription="Create a new document." ma:contentTypeScope="" ma:versionID="f669cdf7975d651e320c70a8bbdbf0ff">
  <xsd:schema xmlns:xsd="http://www.w3.org/2001/XMLSchema" xmlns:xs="http://www.w3.org/2001/XMLSchema" xmlns:p="http://schemas.microsoft.com/office/2006/metadata/properties" xmlns:ns1="http://schemas.microsoft.com/sharepoint/v3" targetNamespace="http://schemas.microsoft.com/office/2006/metadata/properties" ma:root="true" ma:fieldsID="76306148d0f7b992e79f2d9b1f249a8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51134502-98C3-4D55-9DB4-63425FBF4204}"/>
</file>

<file path=customXml/itemProps2.xml><?xml version="1.0" encoding="utf-8"?>
<ds:datastoreItem xmlns:ds="http://schemas.openxmlformats.org/officeDocument/2006/customXml" ds:itemID="{9E310D79-A811-4F35-AE75-74A49C5BDC79}"/>
</file>

<file path=customXml/itemProps3.xml><?xml version="1.0" encoding="utf-8"?>
<ds:datastoreItem xmlns:ds="http://schemas.openxmlformats.org/officeDocument/2006/customXml" ds:itemID="{9FF6B670-A103-4D48-8D1E-A366A7E145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T.CONTENT</vt:lpstr>
      <vt:lpstr>INTRODUCTION</vt:lpstr>
      <vt:lpstr>GOV.BUD</vt:lpstr>
      <vt:lpstr>Summary</vt:lpstr>
      <vt:lpstr>Revenues</vt:lpstr>
      <vt:lpstr>Expenditures</vt:lpstr>
      <vt:lpstr>Deficit</vt:lpstr>
      <vt:lpstr>Gov.Reserve</vt:lpstr>
      <vt:lpstr>Debt</vt:lpstr>
      <vt:lpstr>Appendix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2024-10-23T10:41:31Z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ew0KICAiZG9jSUQiOiAiNTY3ZDUyMmYtMDViZC00YzhlLTk0OTEtOWJlY2U2OTczODM0Ig0KfQ==</vt:lpwstr>
  </property>
  <property fmtid="{D5CDD505-2E9C-101B-9397-08002B2CF9AE}" pid="3" name="GVData0">
    <vt:lpwstr>(end)</vt:lpwstr>
  </property>
  <property fmtid="{D5CDD505-2E9C-101B-9397-08002B2CF9AE}" pid="4" name="ContentTypeId">
    <vt:lpwstr>0x0101009C11D67FA23CE540BDEE458F89FA0AF8</vt:lpwstr>
  </property>
</Properties>
</file>